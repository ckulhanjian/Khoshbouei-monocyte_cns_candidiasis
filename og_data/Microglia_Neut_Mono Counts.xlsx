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arakool/Documents/Khoshbouei  Lab/devon&amp;sabrina/"/>
    </mc:Choice>
  </mc:AlternateContent>
  <xr:revisionPtr revIDLastSave="0" documentId="13_ncr:1_{6BB759AE-04C9-6744-86C5-825CF5E2BBDB}" xr6:coauthVersionLast="47" xr6:coauthVersionMax="47" xr10:uidLastSave="{00000000-0000-0000-0000-000000000000}"/>
  <bookViews>
    <workbookView xWindow="0" yWindow="760" windowWidth="29400" windowHeight="18360" xr2:uid="{900762FE-50B1-054C-8A2F-C3220EEEAFE3}"/>
  </bookViews>
  <sheets>
    <sheet name="Microglia Counts per Radii" sheetId="1" r:id="rId1"/>
    <sheet name="Neut Counts per Radii" sheetId="3" r:id="rId2"/>
    <sheet name="Mono_Neut Counts per Radii" sheetId="4" r:id="rId3"/>
    <sheet name="immune_cell_counts" sheetId="7" r:id="rId4"/>
    <sheet name="Mono_Neut Counts per Density" sheetId="5" r:id="rId5"/>
    <sheet name="Neut Counts per Density" sheetId="6" r:id="rId6"/>
    <sheet name="Microglia Counts per Density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6" l="1"/>
  <c r="K29" i="6"/>
  <c r="L29" i="6"/>
  <c r="E17" i="6"/>
  <c r="M28" i="6"/>
  <c r="M27" i="6"/>
  <c r="M29" i="6"/>
  <c r="L28" i="6"/>
  <c r="L27" i="6"/>
  <c r="K28" i="6"/>
  <c r="K27" i="6"/>
  <c r="J28" i="6"/>
  <c r="J27" i="6"/>
  <c r="K24" i="6"/>
  <c r="K23" i="6"/>
  <c r="K22" i="6"/>
  <c r="J24" i="6"/>
  <c r="J23" i="6"/>
  <c r="J22" i="6"/>
  <c r="I29" i="6"/>
  <c r="I28" i="6"/>
  <c r="I27" i="6"/>
  <c r="H29" i="6"/>
  <c r="H28" i="6"/>
  <c r="H27" i="6"/>
  <c r="I23" i="6"/>
  <c r="H23" i="6"/>
  <c r="Q19" i="6"/>
  <c r="Q18" i="6"/>
  <c r="Q16" i="6"/>
  <c r="Q15" i="6"/>
  <c r="Q14" i="6"/>
  <c r="Q13" i="6"/>
  <c r="Q12" i="6"/>
  <c r="P19" i="6"/>
  <c r="P18" i="6"/>
  <c r="P16" i="6"/>
  <c r="P15" i="6"/>
  <c r="P14" i="6"/>
  <c r="P13" i="6"/>
  <c r="P12" i="6"/>
  <c r="O19" i="6"/>
  <c r="O18" i="6"/>
  <c r="O17" i="6"/>
  <c r="O16" i="6"/>
  <c r="O15" i="6"/>
  <c r="O14" i="6"/>
  <c r="O13" i="6"/>
  <c r="O12" i="6"/>
  <c r="N19" i="6"/>
  <c r="N18" i="6"/>
  <c r="N17" i="6"/>
  <c r="N16" i="6"/>
  <c r="N15" i="6"/>
  <c r="N14" i="6"/>
  <c r="N13" i="6"/>
  <c r="N12" i="6"/>
  <c r="Q9" i="6"/>
  <c r="Q8" i="6"/>
  <c r="Q7" i="6"/>
  <c r="Q6" i="6"/>
  <c r="Q5" i="6"/>
  <c r="Q4" i="6"/>
  <c r="Q3" i="6"/>
  <c r="Q2" i="6"/>
  <c r="P9" i="6"/>
  <c r="P8" i="6"/>
  <c r="P7" i="6"/>
  <c r="P6" i="6"/>
  <c r="P5" i="6"/>
  <c r="P4" i="6"/>
  <c r="P3" i="6"/>
  <c r="P2" i="6"/>
  <c r="O9" i="6"/>
  <c r="O8" i="6"/>
  <c r="O6" i="6"/>
  <c r="O5" i="6"/>
  <c r="O4" i="6"/>
  <c r="O3" i="6"/>
  <c r="O2" i="6"/>
  <c r="N9" i="6"/>
  <c r="N8" i="6"/>
  <c r="N6" i="6"/>
  <c r="N5" i="6"/>
  <c r="N4" i="6"/>
  <c r="N3" i="6"/>
  <c r="N2" i="6"/>
  <c r="K19" i="6"/>
  <c r="K18" i="6"/>
  <c r="K17" i="6"/>
  <c r="K16" i="6"/>
  <c r="K15" i="6"/>
  <c r="K14" i="6"/>
  <c r="K13" i="6"/>
  <c r="K12" i="6"/>
  <c r="J19" i="6"/>
  <c r="J18" i="6"/>
  <c r="J17" i="6"/>
  <c r="J16" i="6"/>
  <c r="J15" i="6"/>
  <c r="J14" i="6"/>
  <c r="J13" i="6"/>
  <c r="J12" i="6"/>
  <c r="I19" i="6"/>
  <c r="I18" i="6"/>
  <c r="I17" i="6"/>
  <c r="I16" i="6"/>
  <c r="I15" i="6"/>
  <c r="I14" i="6"/>
  <c r="I13" i="6"/>
  <c r="I12" i="6"/>
  <c r="H19" i="6"/>
  <c r="H18" i="6"/>
  <c r="H17" i="6"/>
  <c r="H16" i="6"/>
  <c r="H15" i="6"/>
  <c r="H14" i="6"/>
  <c r="H13" i="6"/>
  <c r="H12" i="6"/>
  <c r="K9" i="6"/>
  <c r="K8" i="6"/>
  <c r="K6" i="6"/>
  <c r="K4" i="6"/>
  <c r="K3" i="6"/>
  <c r="K2" i="6"/>
  <c r="J9" i="6"/>
  <c r="J8" i="6"/>
  <c r="J6" i="6"/>
  <c r="J4" i="6"/>
  <c r="J3" i="6"/>
  <c r="J2" i="6"/>
  <c r="I9" i="6"/>
  <c r="I8" i="6"/>
  <c r="I7" i="6"/>
  <c r="I6" i="6"/>
  <c r="I5" i="6"/>
  <c r="I4" i="6"/>
  <c r="I3" i="6"/>
  <c r="I2" i="6"/>
  <c r="H9" i="6"/>
  <c r="H8" i="6"/>
  <c r="H7" i="6"/>
  <c r="H6" i="6"/>
  <c r="H5" i="6"/>
  <c r="H4" i="6"/>
  <c r="H3" i="6"/>
  <c r="H2" i="6"/>
  <c r="E18" i="6"/>
  <c r="E16" i="6"/>
  <c r="E15" i="6"/>
  <c r="E14" i="6"/>
  <c r="E13" i="6"/>
  <c r="E12" i="6"/>
  <c r="D18" i="6"/>
  <c r="D17" i="6"/>
  <c r="D16" i="6"/>
  <c r="D15" i="6"/>
  <c r="D14" i="6"/>
  <c r="D13" i="6"/>
  <c r="D12" i="6"/>
  <c r="C19" i="6"/>
  <c r="C18" i="6"/>
  <c r="C17" i="6"/>
  <c r="C15" i="6"/>
  <c r="C14" i="6"/>
  <c r="C13" i="6"/>
  <c r="C12" i="6"/>
  <c r="B19" i="6"/>
  <c r="B18" i="6"/>
  <c r="B17" i="6"/>
  <c r="B15" i="6"/>
  <c r="B14" i="6"/>
  <c r="B13" i="6"/>
  <c r="B12" i="6"/>
  <c r="E9" i="6"/>
  <c r="E8" i="6"/>
  <c r="E7" i="6"/>
  <c r="E6" i="6"/>
  <c r="E5" i="6"/>
  <c r="E4" i="6"/>
  <c r="E3" i="6"/>
  <c r="E2" i="6"/>
  <c r="D9" i="6"/>
  <c r="D8" i="6"/>
  <c r="D7" i="6"/>
  <c r="D6" i="6"/>
  <c r="D5" i="6"/>
  <c r="D4" i="6"/>
  <c r="D3" i="6"/>
  <c r="D2" i="6"/>
  <c r="C9" i="6"/>
  <c r="C8" i="6"/>
  <c r="C7" i="6"/>
  <c r="C6" i="6"/>
  <c r="C5" i="6"/>
  <c r="C4" i="6"/>
  <c r="C3" i="6"/>
  <c r="C2" i="6"/>
  <c r="B9" i="6"/>
  <c r="B8" i="6"/>
  <c r="B7" i="6"/>
  <c r="B6" i="6"/>
  <c r="B5" i="6"/>
  <c r="B4" i="6"/>
  <c r="B3" i="6"/>
  <c r="B2" i="6"/>
  <c r="M27" i="5"/>
  <c r="M24" i="5"/>
  <c r="M22" i="5"/>
  <c r="L27" i="5"/>
  <c r="L24" i="5"/>
  <c r="L22" i="5"/>
  <c r="K29" i="5"/>
  <c r="K28" i="5"/>
  <c r="K27" i="5"/>
  <c r="K24" i="5"/>
  <c r="K23" i="5"/>
  <c r="J29" i="5"/>
  <c r="J28" i="5"/>
  <c r="J27" i="5"/>
  <c r="J24" i="5"/>
  <c r="J23" i="5"/>
  <c r="I29" i="5"/>
  <c r="I28" i="5"/>
  <c r="I27" i="5"/>
  <c r="I24" i="5"/>
  <c r="I23" i="5"/>
  <c r="I22" i="5"/>
  <c r="H29" i="5"/>
  <c r="H28" i="5"/>
  <c r="H27" i="5"/>
  <c r="H24" i="5"/>
  <c r="H23" i="5"/>
  <c r="H22" i="5"/>
  <c r="M28" i="3"/>
  <c r="M27" i="3"/>
  <c r="K23" i="3"/>
  <c r="K22" i="3"/>
  <c r="K24" i="3"/>
  <c r="K28" i="3"/>
  <c r="K27" i="3"/>
  <c r="I28" i="3"/>
  <c r="I27" i="3"/>
  <c r="M22" i="4"/>
  <c r="M24" i="4"/>
  <c r="M27" i="4"/>
  <c r="K23" i="4"/>
  <c r="K24" i="4"/>
  <c r="K28" i="4"/>
  <c r="K27" i="4"/>
  <c r="K29" i="4"/>
  <c r="I23" i="4"/>
  <c r="I22" i="4"/>
  <c r="I24" i="4"/>
  <c r="H24" i="4"/>
  <c r="I28" i="4"/>
  <c r="I27" i="4"/>
  <c r="I29" i="4"/>
  <c r="O2" i="3"/>
  <c r="O8" i="3"/>
  <c r="O5" i="3"/>
  <c r="O4" i="3"/>
  <c r="O3" i="3"/>
  <c r="O9" i="3"/>
  <c r="O6" i="3"/>
  <c r="Q12" i="3"/>
  <c r="Q18" i="3"/>
  <c r="Q15" i="3"/>
  <c r="Q14" i="3"/>
  <c r="Q13" i="3"/>
  <c r="Q19" i="3"/>
  <c r="Q16" i="3"/>
  <c r="K2" i="3"/>
  <c r="K8" i="3"/>
  <c r="K4" i="3"/>
  <c r="K3" i="3"/>
  <c r="K9" i="3"/>
  <c r="K6" i="3"/>
  <c r="K12" i="3"/>
  <c r="K18" i="3"/>
  <c r="K15" i="3"/>
  <c r="K17" i="3"/>
  <c r="K14" i="3"/>
  <c r="K13" i="3"/>
  <c r="K19" i="3"/>
  <c r="K16" i="3"/>
  <c r="E3" i="3"/>
  <c r="E2" i="3"/>
  <c r="E8" i="3"/>
  <c r="E5" i="3"/>
  <c r="E7" i="3"/>
  <c r="E9" i="3"/>
  <c r="E6" i="3"/>
  <c r="E12" i="3"/>
  <c r="E18" i="3"/>
  <c r="E15" i="3"/>
  <c r="E17" i="3"/>
  <c r="E14" i="3"/>
  <c r="E13" i="3"/>
  <c r="E16" i="3"/>
  <c r="Q2" i="3"/>
  <c r="Q8" i="3"/>
  <c r="Q5" i="3"/>
  <c r="Q7" i="3"/>
  <c r="Q3" i="3"/>
  <c r="Q9" i="3"/>
  <c r="Q6" i="3"/>
  <c r="O12" i="3"/>
  <c r="O18" i="3"/>
  <c r="O15" i="3"/>
  <c r="O17" i="3"/>
  <c r="O19" i="3"/>
  <c r="O16" i="3"/>
  <c r="I2" i="3"/>
  <c r="I8" i="3"/>
  <c r="I7" i="3"/>
  <c r="I5" i="3"/>
  <c r="I4" i="3"/>
  <c r="I3" i="3"/>
  <c r="I9" i="3"/>
  <c r="I12" i="3"/>
  <c r="I19" i="3"/>
  <c r="I18" i="3"/>
  <c r="I15" i="3"/>
  <c r="I14" i="3"/>
  <c r="I13" i="3"/>
  <c r="I16" i="3"/>
  <c r="C2" i="3"/>
  <c r="C8" i="3"/>
  <c r="C5" i="3"/>
  <c r="C7" i="3"/>
  <c r="C4" i="3"/>
  <c r="C3" i="3"/>
  <c r="C6" i="3"/>
  <c r="C12" i="3"/>
  <c r="C18" i="3"/>
  <c r="C15" i="3"/>
  <c r="C17" i="3"/>
  <c r="C14" i="3"/>
  <c r="C13" i="3"/>
  <c r="C19" i="3"/>
  <c r="C19" i="5"/>
  <c r="K6" i="5"/>
  <c r="I13" i="5"/>
  <c r="K2" i="5"/>
  <c r="Q19" i="5"/>
  <c r="Q18" i="5"/>
  <c r="Q17" i="5"/>
  <c r="Q16" i="5"/>
  <c r="Q15" i="5"/>
  <c r="Q14" i="5"/>
  <c r="Q13" i="5"/>
  <c r="Q12" i="5"/>
  <c r="P19" i="5"/>
  <c r="P18" i="5"/>
  <c r="P17" i="5"/>
  <c r="P16" i="5"/>
  <c r="P15" i="5"/>
  <c r="P14" i="5"/>
  <c r="P13" i="5"/>
  <c r="P12" i="5"/>
  <c r="I19" i="5"/>
  <c r="I18" i="5"/>
  <c r="I17" i="5"/>
  <c r="I16" i="5"/>
  <c r="I15" i="5"/>
  <c r="I14" i="5"/>
  <c r="I12" i="5"/>
  <c r="H19" i="5"/>
  <c r="H18" i="5"/>
  <c r="H17" i="5"/>
  <c r="H16" i="5"/>
  <c r="H15" i="5"/>
  <c r="H14" i="5"/>
  <c r="H13" i="5"/>
  <c r="H12" i="5"/>
  <c r="O9" i="5"/>
  <c r="O8" i="5"/>
  <c r="O7" i="5"/>
  <c r="O6" i="5"/>
  <c r="O5" i="5"/>
  <c r="O4" i="5"/>
  <c r="O3" i="5"/>
  <c r="O2" i="5"/>
  <c r="N9" i="5"/>
  <c r="N8" i="5"/>
  <c r="N7" i="5"/>
  <c r="N6" i="5"/>
  <c r="N5" i="5"/>
  <c r="N4" i="5"/>
  <c r="N3" i="5"/>
  <c r="N2" i="5"/>
  <c r="K9" i="5"/>
  <c r="K8" i="5"/>
  <c r="K7" i="5"/>
  <c r="K5" i="5"/>
  <c r="K4" i="5"/>
  <c r="K3" i="5"/>
  <c r="J9" i="5"/>
  <c r="J8" i="5"/>
  <c r="J7" i="5"/>
  <c r="J6" i="5"/>
  <c r="J5" i="5"/>
  <c r="J4" i="5"/>
  <c r="J3" i="5"/>
  <c r="J2" i="5"/>
  <c r="C18" i="5"/>
  <c r="C16" i="5"/>
  <c r="C15" i="5"/>
  <c r="C14" i="5"/>
  <c r="C13" i="5"/>
  <c r="C12" i="5"/>
  <c r="B19" i="5"/>
  <c r="B18" i="5"/>
  <c r="B16" i="5"/>
  <c r="B15" i="5"/>
  <c r="B14" i="5"/>
  <c r="B13" i="5"/>
  <c r="B12" i="5"/>
  <c r="E9" i="5"/>
  <c r="E8" i="5"/>
  <c r="E7" i="5"/>
  <c r="E6" i="5"/>
  <c r="E5" i="5"/>
  <c r="E4" i="5"/>
  <c r="E3" i="5"/>
  <c r="D9" i="5"/>
  <c r="D8" i="5"/>
  <c r="D7" i="5"/>
  <c r="D6" i="5"/>
  <c r="D5" i="5"/>
  <c r="D4" i="5"/>
  <c r="D3" i="5"/>
  <c r="D2" i="5"/>
  <c r="E2" i="5"/>
  <c r="Q19" i="4"/>
  <c r="Q18" i="4"/>
  <c r="Q17" i="4"/>
  <c r="Q16" i="4"/>
  <c r="Q15" i="4"/>
  <c r="Q14" i="4"/>
  <c r="Q13" i="4"/>
  <c r="Q12" i="4"/>
  <c r="I19" i="4"/>
  <c r="I18" i="4"/>
  <c r="I17" i="4"/>
  <c r="I16" i="4"/>
  <c r="I15" i="4"/>
  <c r="I14" i="4"/>
  <c r="I13" i="4"/>
  <c r="I12" i="4"/>
  <c r="C19" i="4"/>
  <c r="C18" i="4"/>
  <c r="C16" i="4"/>
  <c r="C15" i="4"/>
  <c r="C14" i="4"/>
  <c r="C13" i="4"/>
  <c r="C12" i="4"/>
  <c r="O9" i="4"/>
  <c r="O8" i="4"/>
  <c r="O7" i="4"/>
  <c r="O6" i="4"/>
  <c r="O5" i="4"/>
  <c r="O4" i="4"/>
  <c r="O3" i="4"/>
  <c r="O2" i="4"/>
  <c r="K9" i="4"/>
  <c r="K8" i="4"/>
  <c r="K7" i="4"/>
  <c r="K6" i="4"/>
  <c r="K5" i="4"/>
  <c r="K4" i="4"/>
  <c r="K3" i="4"/>
  <c r="K2" i="4"/>
  <c r="E9" i="4"/>
  <c r="E8" i="4"/>
  <c r="E7" i="4"/>
  <c r="E6" i="4"/>
  <c r="E5" i="4"/>
  <c r="E4" i="4"/>
  <c r="E3" i="4"/>
  <c r="E2" i="4"/>
  <c r="O19" i="5"/>
  <c r="O18" i="5"/>
  <c r="O17" i="5"/>
  <c r="O16" i="5"/>
  <c r="O15" i="5"/>
  <c r="O14" i="5"/>
  <c r="O13" i="5"/>
  <c r="O12" i="5"/>
  <c r="N19" i="5"/>
  <c r="N18" i="5"/>
  <c r="N17" i="5"/>
  <c r="N16" i="5"/>
  <c r="N15" i="5"/>
  <c r="N14" i="5"/>
  <c r="N13" i="5"/>
  <c r="N12" i="5"/>
  <c r="K19" i="5"/>
  <c r="K18" i="5"/>
  <c r="K17" i="5"/>
  <c r="K16" i="5"/>
  <c r="K15" i="5"/>
  <c r="K14" i="5"/>
  <c r="K13" i="5"/>
  <c r="K12" i="5"/>
  <c r="J19" i="5"/>
  <c r="J18" i="5"/>
  <c r="J17" i="5"/>
  <c r="J16" i="5"/>
  <c r="J15" i="5"/>
  <c r="J14" i="5"/>
  <c r="J13" i="5"/>
  <c r="J12" i="5"/>
  <c r="Q8" i="5"/>
  <c r="Q7" i="5"/>
  <c r="Q6" i="5"/>
  <c r="Q5" i="5"/>
  <c r="Q4" i="5"/>
  <c r="Q3" i="5"/>
  <c r="Q2" i="5"/>
  <c r="P8" i="5"/>
  <c r="P7" i="5"/>
  <c r="P6" i="5"/>
  <c r="P5" i="5"/>
  <c r="P4" i="5"/>
  <c r="P3" i="5"/>
  <c r="P2" i="5"/>
  <c r="I9" i="5"/>
  <c r="I8" i="5"/>
  <c r="I7" i="5"/>
  <c r="I6" i="5"/>
  <c r="I5" i="5"/>
  <c r="I4" i="5"/>
  <c r="I3" i="5"/>
  <c r="I2" i="5"/>
  <c r="H9" i="5"/>
  <c r="H8" i="5"/>
  <c r="H7" i="5"/>
  <c r="H6" i="5"/>
  <c r="H5" i="5"/>
  <c r="H4" i="5"/>
  <c r="H3" i="5"/>
  <c r="H2" i="5"/>
  <c r="E19" i="5"/>
  <c r="E18" i="5"/>
  <c r="E17" i="5"/>
  <c r="E15" i="5"/>
  <c r="E14" i="5"/>
  <c r="E13" i="5"/>
  <c r="E12" i="5"/>
  <c r="D19" i="5"/>
  <c r="D18" i="5"/>
  <c r="D17" i="5"/>
  <c r="D15" i="5"/>
  <c r="D14" i="5"/>
  <c r="D13" i="5"/>
  <c r="D12" i="5"/>
  <c r="C9" i="5"/>
  <c r="C8" i="5"/>
  <c r="C7" i="5"/>
  <c r="C6" i="5"/>
  <c r="C5" i="5"/>
  <c r="C4" i="5"/>
  <c r="C3" i="5"/>
  <c r="C2" i="5"/>
  <c r="B9" i="5"/>
  <c r="B8" i="5"/>
  <c r="B7" i="5"/>
  <c r="B6" i="5"/>
  <c r="B5" i="5"/>
  <c r="B4" i="5"/>
  <c r="B3" i="5"/>
  <c r="B2" i="5"/>
  <c r="Q2" i="4"/>
  <c r="P2" i="4"/>
  <c r="Q8" i="4"/>
  <c r="Q5" i="4"/>
  <c r="Q7" i="4"/>
  <c r="Q4" i="4"/>
  <c r="Q3" i="4"/>
  <c r="Q6" i="4"/>
  <c r="O12" i="4"/>
  <c r="O18" i="4"/>
  <c r="O15" i="4"/>
  <c r="O17" i="4"/>
  <c r="O14" i="4"/>
  <c r="O13" i="4"/>
  <c r="O19" i="4"/>
  <c r="O16" i="4"/>
  <c r="I3" i="4"/>
  <c r="I2" i="4"/>
  <c r="I8" i="4"/>
  <c r="I5" i="4"/>
  <c r="I7" i="4"/>
  <c r="I4" i="4"/>
  <c r="I9" i="4"/>
  <c r="I6" i="4"/>
  <c r="K12" i="4"/>
  <c r="K19" i="4"/>
  <c r="K18" i="4"/>
  <c r="K15" i="4"/>
  <c r="K17" i="4"/>
  <c r="K14" i="4"/>
  <c r="K13" i="4"/>
  <c r="K16" i="4"/>
  <c r="E18" i="4"/>
  <c r="E15" i="4"/>
  <c r="E17" i="4"/>
  <c r="E14" i="4"/>
  <c r="E13" i="4"/>
  <c r="E19" i="4"/>
  <c r="C8" i="4"/>
  <c r="C5" i="4"/>
  <c r="C7" i="4"/>
  <c r="C6" i="4"/>
  <c r="C9" i="4"/>
  <c r="C3" i="4"/>
  <c r="C2" i="4"/>
  <c r="C4" i="4"/>
  <c r="K23" i="2"/>
  <c r="M30" i="2"/>
  <c r="M29" i="2"/>
  <c r="M28" i="2"/>
  <c r="M25" i="2"/>
  <c r="M24" i="2"/>
  <c r="M23" i="2"/>
  <c r="L30" i="2"/>
  <c r="L29" i="2"/>
  <c r="L28" i="2"/>
  <c r="L25" i="2"/>
  <c r="L24" i="2"/>
  <c r="L23" i="2"/>
  <c r="K30" i="2"/>
  <c r="K29" i="2"/>
  <c r="K25" i="2"/>
  <c r="K24" i="2"/>
  <c r="J30" i="2"/>
  <c r="J29" i="2"/>
  <c r="J25" i="2"/>
  <c r="J24" i="2"/>
  <c r="J23" i="2"/>
  <c r="I30" i="2"/>
  <c r="I29" i="2"/>
  <c r="I28" i="2"/>
  <c r="I25" i="2"/>
  <c r="I24" i="2"/>
  <c r="I23" i="2"/>
  <c r="H30" i="2"/>
  <c r="H29" i="2"/>
  <c r="H28" i="2"/>
  <c r="H25" i="2"/>
  <c r="H24" i="2"/>
  <c r="H23" i="2"/>
  <c r="M23" i="1"/>
  <c r="M22" i="1"/>
  <c r="M24" i="1"/>
  <c r="M28" i="1"/>
  <c r="M27" i="1"/>
  <c r="K23" i="1"/>
  <c r="K22" i="1"/>
  <c r="K24" i="1"/>
  <c r="K28" i="1"/>
  <c r="K29" i="1"/>
  <c r="I22" i="1"/>
  <c r="I23" i="1"/>
  <c r="I24" i="1"/>
  <c r="I28" i="1"/>
  <c r="I29" i="1"/>
  <c r="I27" i="1"/>
  <c r="M29" i="1"/>
  <c r="K18" i="2"/>
  <c r="O14" i="2"/>
  <c r="Q19" i="2"/>
  <c r="Q18" i="2"/>
  <c r="Q17" i="2"/>
  <c r="Q16" i="2"/>
  <c r="Q15" i="2"/>
  <c r="Q14" i="2"/>
  <c r="Q13" i="2"/>
  <c r="Q12" i="2"/>
  <c r="P19" i="2"/>
  <c r="P18" i="2"/>
  <c r="P17" i="2"/>
  <c r="P16" i="2"/>
  <c r="P15" i="2"/>
  <c r="P14" i="2"/>
  <c r="P13" i="2"/>
  <c r="P12" i="2"/>
  <c r="Q9" i="2"/>
  <c r="Q8" i="2"/>
  <c r="Q6" i="2"/>
  <c r="Q5" i="2"/>
  <c r="Q4" i="2"/>
  <c r="Q3" i="2"/>
  <c r="Q2" i="2"/>
  <c r="P9" i="2"/>
  <c r="P8" i="2"/>
  <c r="P6" i="2"/>
  <c r="P5" i="2"/>
  <c r="P4" i="2"/>
  <c r="P3" i="2"/>
  <c r="P2" i="2"/>
  <c r="K19" i="2"/>
  <c r="K16" i="2"/>
  <c r="K15" i="2"/>
  <c r="K14" i="2"/>
  <c r="K13" i="2"/>
  <c r="K12" i="2"/>
  <c r="J19" i="2"/>
  <c r="J18" i="2"/>
  <c r="J16" i="2"/>
  <c r="J15" i="2"/>
  <c r="J14" i="2"/>
  <c r="J13" i="2"/>
  <c r="J12" i="2"/>
  <c r="I9" i="2"/>
  <c r="I6" i="2"/>
  <c r="I5" i="2"/>
  <c r="I4" i="2"/>
  <c r="I3" i="2"/>
  <c r="I2" i="2"/>
  <c r="H9" i="2"/>
  <c r="H6" i="2"/>
  <c r="H5" i="2"/>
  <c r="H4" i="2"/>
  <c r="H3" i="2"/>
  <c r="H2" i="2"/>
  <c r="E19" i="2"/>
  <c r="E18" i="2"/>
  <c r="E17" i="2"/>
  <c r="E16" i="2"/>
  <c r="E15" i="2"/>
  <c r="E14" i="2"/>
  <c r="E13" i="2"/>
  <c r="E12" i="2"/>
  <c r="D19" i="2"/>
  <c r="D18" i="2"/>
  <c r="D17" i="2"/>
  <c r="D16" i="2"/>
  <c r="D15" i="2"/>
  <c r="D14" i="2"/>
  <c r="D13" i="2"/>
  <c r="D12" i="2"/>
  <c r="E9" i="2"/>
  <c r="E8" i="2"/>
  <c r="E6" i="2"/>
  <c r="E5" i="2"/>
  <c r="E4" i="2"/>
  <c r="E3" i="2"/>
  <c r="E2" i="2"/>
  <c r="D9" i="2"/>
  <c r="D8" i="2"/>
  <c r="D6" i="2"/>
  <c r="D5" i="2"/>
  <c r="D4" i="2"/>
  <c r="D3" i="2"/>
  <c r="D2" i="2"/>
  <c r="N14" i="2"/>
  <c r="Q2" i="1"/>
  <c r="Q8" i="1"/>
  <c r="Q5" i="1"/>
  <c r="Q7" i="1"/>
  <c r="Q4" i="1"/>
  <c r="Q3" i="1"/>
  <c r="Q9" i="1"/>
  <c r="Q6" i="1"/>
  <c r="E2" i="1"/>
  <c r="E8" i="1"/>
  <c r="E5" i="1"/>
  <c r="E7" i="1"/>
  <c r="E4" i="1"/>
  <c r="E3" i="1"/>
  <c r="E9" i="1"/>
  <c r="E6" i="1"/>
  <c r="Q12" i="1"/>
  <c r="Q18" i="1"/>
  <c r="Q15" i="1"/>
  <c r="Q17" i="1"/>
  <c r="O14" i="1"/>
  <c r="Q14" i="1"/>
  <c r="Q13" i="1"/>
  <c r="Q19" i="1"/>
  <c r="Q16" i="1"/>
  <c r="I2" i="1"/>
  <c r="I8" i="1"/>
  <c r="I5" i="1"/>
  <c r="I7" i="1"/>
  <c r="I4" i="1"/>
  <c r="I3" i="1"/>
  <c r="I9" i="1"/>
  <c r="I6" i="1"/>
  <c r="K12" i="1"/>
  <c r="K18" i="1"/>
  <c r="K15" i="1"/>
  <c r="K16" i="1"/>
  <c r="K17" i="1"/>
  <c r="K14" i="1"/>
  <c r="K13" i="1"/>
  <c r="K19" i="1"/>
  <c r="E19" i="1"/>
  <c r="E18" i="1"/>
  <c r="E17" i="1"/>
  <c r="E16" i="1"/>
  <c r="E15" i="1"/>
  <c r="E14" i="1"/>
  <c r="E13" i="1"/>
  <c r="E12" i="1"/>
  <c r="O19" i="2"/>
  <c r="O18" i="2"/>
  <c r="O17" i="2"/>
  <c r="O16" i="2"/>
  <c r="O15" i="2"/>
  <c r="O13" i="2"/>
  <c r="N19" i="2"/>
  <c r="N18" i="2"/>
  <c r="N17" i="2"/>
  <c r="N16" i="2"/>
  <c r="N15" i="2"/>
  <c r="N13" i="2"/>
  <c r="O9" i="2"/>
  <c r="O8" i="2"/>
  <c r="O7" i="2"/>
  <c r="O6" i="2"/>
  <c r="O5" i="2"/>
  <c r="O4" i="2"/>
  <c r="O3" i="2"/>
  <c r="N9" i="2"/>
  <c r="N8" i="2"/>
  <c r="N7" i="2"/>
  <c r="N6" i="2"/>
  <c r="N5" i="2"/>
  <c r="N4" i="2"/>
  <c r="N3" i="2"/>
  <c r="O2" i="2"/>
  <c r="K8" i="2"/>
  <c r="K7" i="2"/>
  <c r="K6" i="2"/>
  <c r="K5" i="2"/>
  <c r="K4" i="2"/>
  <c r="K3" i="2"/>
  <c r="K2" i="2"/>
  <c r="K9" i="2"/>
  <c r="I19" i="2"/>
  <c r="I18" i="2"/>
  <c r="I17" i="2"/>
  <c r="I16" i="2"/>
  <c r="I15" i="2"/>
  <c r="I14" i="2"/>
  <c r="I13" i="2"/>
  <c r="H19" i="2"/>
  <c r="H18" i="2"/>
  <c r="H17" i="2"/>
  <c r="H16" i="2"/>
  <c r="H15" i="2"/>
  <c r="H14" i="2"/>
  <c r="H13" i="2"/>
  <c r="J9" i="2"/>
  <c r="J8" i="2"/>
  <c r="J7" i="2"/>
  <c r="J6" i="2"/>
  <c r="J5" i="2"/>
  <c r="J4" i="2"/>
  <c r="J3" i="2"/>
  <c r="B19" i="2"/>
  <c r="B18" i="2"/>
  <c r="B17" i="2"/>
  <c r="B16" i="2"/>
  <c r="B15" i="2"/>
  <c r="B14" i="2"/>
  <c r="B13" i="2"/>
  <c r="C19" i="2"/>
  <c r="C18" i="2"/>
  <c r="C17" i="2"/>
  <c r="C16" i="2"/>
  <c r="C15" i="2"/>
  <c r="C14" i="2"/>
  <c r="C13" i="2"/>
  <c r="C9" i="2"/>
  <c r="C8" i="2"/>
  <c r="C7" i="2"/>
  <c r="C6" i="2"/>
  <c r="C5" i="2"/>
  <c r="C4" i="2"/>
  <c r="O12" i="2"/>
  <c r="N12" i="2"/>
  <c r="I12" i="2"/>
  <c r="H12" i="2"/>
  <c r="C12" i="2"/>
  <c r="B12" i="2"/>
  <c r="N2" i="2"/>
  <c r="J2" i="2"/>
  <c r="C3" i="2"/>
  <c r="C2" i="2"/>
  <c r="B9" i="2"/>
  <c r="B8" i="2"/>
  <c r="B7" i="2"/>
  <c r="B6" i="2"/>
  <c r="B5" i="2"/>
  <c r="B4" i="2"/>
  <c r="B3" i="2"/>
  <c r="B2" i="2"/>
  <c r="O2" i="1"/>
  <c r="O8" i="1"/>
  <c r="O5" i="1"/>
  <c r="O7" i="1"/>
  <c r="O4" i="1"/>
  <c r="O3" i="1"/>
  <c r="O9" i="1"/>
  <c r="O6" i="1"/>
  <c r="O12" i="1"/>
  <c r="O18" i="1"/>
  <c r="O15" i="1"/>
  <c r="O17" i="1"/>
  <c r="O13" i="1"/>
  <c r="O19" i="1"/>
  <c r="O16" i="1"/>
  <c r="K2" i="1"/>
  <c r="K8" i="1"/>
  <c r="K5" i="1"/>
  <c r="K7" i="1"/>
  <c r="K4" i="1"/>
  <c r="K3" i="1"/>
  <c r="K9" i="1"/>
  <c r="K6" i="1"/>
  <c r="I12" i="1"/>
  <c r="I18" i="1"/>
  <c r="I15" i="1"/>
  <c r="I17" i="1"/>
  <c r="I14" i="1"/>
  <c r="I13" i="1"/>
  <c r="I19" i="1"/>
  <c r="I16" i="1"/>
  <c r="C2" i="1"/>
  <c r="C8" i="1"/>
  <c r="C6" i="1"/>
  <c r="C5" i="1"/>
  <c r="C7" i="1"/>
  <c r="C4" i="1"/>
  <c r="C3" i="1"/>
  <c r="C9" i="1"/>
  <c r="C12" i="1"/>
  <c r="C18" i="1"/>
  <c r="C15" i="1"/>
  <c r="C17" i="1"/>
  <c r="C14" i="1"/>
  <c r="C13" i="1"/>
  <c r="C19" i="1"/>
  <c r="C16" i="1"/>
</calcChain>
</file>

<file path=xl/sharedStrings.xml><?xml version="1.0" encoding="utf-8"?>
<sst xmlns="http://schemas.openxmlformats.org/spreadsheetml/2006/main" count="1594" uniqueCount="60">
  <si>
    <t>WT</t>
  </si>
  <si>
    <t>Brain 1 Inner</t>
  </si>
  <si>
    <t>Brain 1 Outter</t>
  </si>
  <si>
    <t>Brain 1 Inner 2</t>
  </si>
  <si>
    <t>Brain 1 Outter 2</t>
  </si>
  <si>
    <t>Brain 2 Inner</t>
  </si>
  <si>
    <t>Brain 2 Outter</t>
  </si>
  <si>
    <t>Brain 2 Inner 2</t>
  </si>
  <si>
    <t>Brain 2 Outter 2</t>
  </si>
  <si>
    <t>Brain 3 Inner</t>
  </si>
  <si>
    <t>Brain 3 Outter</t>
  </si>
  <si>
    <t>Brain 3 Inner 2</t>
  </si>
  <si>
    <t>Brain 3 Outter 2</t>
  </si>
  <si>
    <t>Thalamus</t>
  </si>
  <si>
    <t>Hypothalamus</t>
  </si>
  <si>
    <t>Midbrain</t>
  </si>
  <si>
    <t>Pons</t>
  </si>
  <si>
    <t>DVC/AP</t>
  </si>
  <si>
    <t>PFC</t>
  </si>
  <si>
    <t>Striatum</t>
  </si>
  <si>
    <t>Hippocampus</t>
  </si>
  <si>
    <t xml:space="preserve"> </t>
  </si>
  <si>
    <t>KO</t>
  </si>
  <si>
    <t>Quality: above 141</t>
  </si>
  <si>
    <t>-</t>
  </si>
  <si>
    <t>Quality: above 12</t>
  </si>
  <si>
    <t>Ly6G</t>
  </si>
  <si>
    <t>Ly6B.2</t>
  </si>
  <si>
    <t>Density = Counts/Area</t>
  </si>
  <si>
    <t>Area of 100 um circle</t>
  </si>
  <si>
    <t>mm2</t>
  </si>
  <si>
    <t>Area of 200 um ring</t>
  </si>
  <si>
    <t>Significance:</t>
  </si>
  <si>
    <t>Inner</t>
  </si>
  <si>
    <t>Outer</t>
  </si>
  <si>
    <t>**</t>
  </si>
  <si>
    <t>micro pons</t>
  </si>
  <si>
    <t>imaged</t>
  </si>
  <si>
    <t>WT ^</t>
  </si>
  <si>
    <t>3 more n</t>
  </si>
  <si>
    <t>neut thal</t>
  </si>
  <si>
    <t>KO ^</t>
  </si>
  <si>
    <t>*</t>
  </si>
  <si>
    <t>mono str</t>
  </si>
  <si>
    <t>waiting on shannon to analyze</t>
  </si>
  <si>
    <t xml:space="preserve">exclude if no fungus </t>
  </si>
  <si>
    <t>***</t>
  </si>
  <si>
    <t>no fungus</t>
  </si>
  <si>
    <t>fungus but no neut</t>
  </si>
  <si>
    <t>Brain Region</t>
  </si>
  <si>
    <t>Brain Area (inner, outer)</t>
  </si>
  <si>
    <t>Genotype (WT,KO)</t>
  </si>
  <si>
    <t>Brain #</t>
  </si>
  <si>
    <t>Class</t>
  </si>
  <si>
    <t>A</t>
  </si>
  <si>
    <t xml:space="preserve">Inner </t>
  </si>
  <si>
    <t>Microglia Counts Per Density</t>
  </si>
  <si>
    <t>B</t>
  </si>
  <si>
    <t>Neut Counts Per Density</t>
  </si>
  <si>
    <t>Mono_Neut Counts Per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</si>
</sst>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1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1" fillId="0" borderId="9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164" fontId="4" fillId="0" borderId="0" xfId="0" applyNumberFormat="1" applyFont="1"/>
    <xf numFmtId="0" fontId="0" fillId="0" borderId="5" xfId="0" applyBorder="1"/>
    <xf numFmtId="0" fontId="0" fillId="0" borderId="8" xfId="0" applyBorder="1"/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4" xfId="0" applyBorder="1"/>
    <xf numFmtId="0" fontId="0" fillId="0" borderId="6" xfId="0" applyBorder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1" fillId="2" borderId="0" xfId="0" applyFont="1" applyFill="1"/>
    <xf numFmtId="0" fontId="2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" fillId="4" borderId="0" xfId="0" applyNumberFormat="1" applyFont="1" applyFill="1"/>
    <xf numFmtId="0" fontId="1" fillId="4" borderId="0" xfId="0" applyFont="1" applyFill="1"/>
    <xf numFmtId="0" fontId="8" fillId="0" borderId="0" xfId="0" applyFont="1"/>
    <xf numFmtId="0" fontId="1" fillId="5" borderId="0" xfId="0" applyFont="1" applyFill="1"/>
    <xf numFmtId="164" fontId="1" fillId="5" borderId="0" xfId="0" applyNumberFormat="1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9BAD05-1EF6-2343-A4DD-9EFB92A7B246}" name="Table2" displayName="Table2" ref="A1:H229" totalsRowShown="0" headerRowDxfId="6">
  <autoFilter ref="A1:H229" xr:uid="{FF9BAD05-1EF6-2343-A4DD-9EFB92A7B246}"/>
  <tableColumns count="8">
    <tableColumn id="1" xr3:uid="{7599308B-52E9-2B48-ADBA-450E365C7880}" name="Brain #"/>
    <tableColumn id="2" xr3:uid="{8C9D8480-2B1B-DA4A-80C8-3C9560B1911F}" name="Class"/>
    <tableColumn id="3" xr3:uid="{BCC8B5B1-DA09-E648-80D8-0F892AAB4EC9}" name="Brain Region" dataDxfId="5"/>
    <tableColumn id="4" xr3:uid="{D3EA47FA-DA9C-B740-9D16-D8884D308AFC}" name="Brain Area (inner, outer)" dataDxfId="4"/>
    <tableColumn id="5" xr3:uid="{28B79E4B-7FF7-D94F-BB5A-C653896459EE}" name="Genotype (WT,KO)" dataDxfId="3"/>
    <tableColumn id="6" xr3:uid="{74172A3F-10ED-4B4F-B87E-82991785B066}" name="Microglia Counts Per Density" dataDxfId="2"/>
    <tableColumn id="7" xr3:uid="{8A39C0CB-473A-D44A-9D85-E584CFB857BD}" name="Neut Counts Per Density" dataDxfId="1"/>
    <tableColumn id="8" xr3:uid="{6C1E1611-8940-5B42-8726-0C42D88F2768}" name="Mono_Neut Counts Per Densi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1FD5-B1D7-C640-9182-70C96F13606B}">
  <dimension ref="A1:Q32"/>
  <sheetViews>
    <sheetView tabSelected="1" zoomScale="109" workbookViewId="0">
      <selection activeCell="J35" sqref="J35"/>
    </sheetView>
  </sheetViews>
  <sheetFormatPr baseColWidth="10" defaultColWidth="11" defaultRowHeight="16" x14ac:dyDescent="0.2"/>
  <sheetData>
    <row r="1" spans="1:17" x14ac:dyDescent="0.2">
      <c r="A1" s="3" t="s">
        <v>0</v>
      </c>
      <c r="B1" s="3" t="s">
        <v>1</v>
      </c>
      <c r="C1" s="5" t="s">
        <v>2</v>
      </c>
      <c r="D1" s="4" t="s">
        <v>3</v>
      </c>
      <c r="E1" s="16" t="s">
        <v>4</v>
      </c>
      <c r="G1" s="3" t="s">
        <v>0</v>
      </c>
      <c r="H1" s="3" t="s">
        <v>5</v>
      </c>
      <c r="I1" s="5" t="s">
        <v>6</v>
      </c>
      <c r="J1" s="4" t="s">
        <v>7</v>
      </c>
      <c r="K1" s="16" t="s">
        <v>8</v>
      </c>
      <c r="M1" s="3" t="s">
        <v>0</v>
      </c>
      <c r="N1" s="3" t="s">
        <v>9</v>
      </c>
      <c r="O1" s="5" t="s">
        <v>10</v>
      </c>
      <c r="P1" s="4" t="s">
        <v>11</v>
      </c>
      <c r="Q1" s="16" t="s">
        <v>12</v>
      </c>
    </row>
    <row r="2" spans="1:17" x14ac:dyDescent="0.2">
      <c r="A2" s="3" t="s">
        <v>13</v>
      </c>
      <c r="B2" s="13">
        <v>40</v>
      </c>
      <c r="C2" s="12">
        <f>132-B2</f>
        <v>92</v>
      </c>
      <c r="D2" s="11">
        <v>46</v>
      </c>
      <c r="E2" s="12">
        <f>163-D2</f>
        <v>117</v>
      </c>
      <c r="F2" s="2"/>
      <c r="G2" s="3" t="s">
        <v>13</v>
      </c>
      <c r="H2" s="13">
        <v>30</v>
      </c>
      <c r="I2" s="12">
        <f>111-H2</f>
        <v>81</v>
      </c>
      <c r="J2" s="11">
        <v>47</v>
      </c>
      <c r="K2" s="12">
        <f>170-J2</f>
        <v>123</v>
      </c>
      <c r="M2" s="3" t="s">
        <v>13</v>
      </c>
      <c r="N2" s="13">
        <v>34</v>
      </c>
      <c r="O2" s="12">
        <f>114-N2</f>
        <v>80</v>
      </c>
      <c r="P2" s="11">
        <v>23</v>
      </c>
      <c r="Q2" s="12">
        <f>95-P2</f>
        <v>72</v>
      </c>
    </row>
    <row r="3" spans="1:17" x14ac:dyDescent="0.2">
      <c r="A3" s="6" t="s">
        <v>14</v>
      </c>
      <c r="B3" s="14">
        <v>71</v>
      </c>
      <c r="C3" s="7">
        <f>168-B3</f>
        <v>97</v>
      </c>
      <c r="D3" s="2">
        <v>36</v>
      </c>
      <c r="E3" s="7">
        <f>132-D3</f>
        <v>96</v>
      </c>
      <c r="F3" s="2"/>
      <c r="G3" s="6" t="s">
        <v>14</v>
      </c>
      <c r="H3" s="14">
        <v>63</v>
      </c>
      <c r="I3" s="7">
        <f>153-H3</f>
        <v>90</v>
      </c>
      <c r="J3" s="2">
        <v>36</v>
      </c>
      <c r="K3" s="7">
        <f>138-J3</f>
        <v>102</v>
      </c>
      <c r="M3" s="6" t="s">
        <v>14</v>
      </c>
      <c r="N3" s="14">
        <v>62</v>
      </c>
      <c r="O3" s="7">
        <f>169-N3</f>
        <v>107</v>
      </c>
      <c r="P3" s="2">
        <v>30</v>
      </c>
      <c r="Q3" s="7">
        <f>97-P3</f>
        <v>67</v>
      </c>
    </row>
    <row r="4" spans="1:17" x14ac:dyDescent="0.2">
      <c r="A4" s="6" t="s">
        <v>15</v>
      </c>
      <c r="B4" s="14">
        <v>43</v>
      </c>
      <c r="C4" s="7">
        <f>143-B4</f>
        <v>100</v>
      </c>
      <c r="D4" s="2">
        <v>85</v>
      </c>
      <c r="E4" s="7">
        <f>289-D4</f>
        <v>204</v>
      </c>
      <c r="F4" s="2"/>
      <c r="G4" s="6" t="s">
        <v>15</v>
      </c>
      <c r="H4" s="14">
        <v>41</v>
      </c>
      <c r="I4" s="7">
        <f>124-H4</f>
        <v>83</v>
      </c>
      <c r="J4" s="2">
        <v>84</v>
      </c>
      <c r="K4" s="7">
        <f>277-J4</f>
        <v>193</v>
      </c>
      <c r="M4" s="6" t="s">
        <v>15</v>
      </c>
      <c r="N4" s="14">
        <v>45</v>
      </c>
      <c r="O4" s="7">
        <f>123-N4</f>
        <v>78</v>
      </c>
      <c r="P4" s="2">
        <v>140</v>
      </c>
      <c r="Q4" s="7">
        <f>367-P4</f>
        <v>227</v>
      </c>
    </row>
    <row r="5" spans="1:17" x14ac:dyDescent="0.2">
      <c r="A5" s="6" t="s">
        <v>16</v>
      </c>
      <c r="B5" s="14">
        <v>64</v>
      </c>
      <c r="C5" s="7">
        <f>203-B5</f>
        <v>139</v>
      </c>
      <c r="D5" s="2">
        <v>94</v>
      </c>
      <c r="E5" s="7">
        <f>208-D5</f>
        <v>114</v>
      </c>
      <c r="F5" s="2"/>
      <c r="G5" s="6" t="s">
        <v>16</v>
      </c>
      <c r="H5" s="14">
        <v>56</v>
      </c>
      <c r="I5" s="7">
        <f>178-H5</f>
        <v>122</v>
      </c>
      <c r="J5" s="2">
        <v>97</v>
      </c>
      <c r="K5" s="7">
        <f>219-J5</f>
        <v>122</v>
      </c>
      <c r="M5" s="6" t="s">
        <v>16</v>
      </c>
      <c r="N5" s="14">
        <v>113</v>
      </c>
      <c r="O5" s="7">
        <f>276-N5</f>
        <v>163</v>
      </c>
      <c r="P5" s="2">
        <v>125</v>
      </c>
      <c r="Q5" s="7">
        <f>277-P5</f>
        <v>152</v>
      </c>
    </row>
    <row r="6" spans="1:17" x14ac:dyDescent="0.2">
      <c r="A6" s="6" t="s">
        <v>17</v>
      </c>
      <c r="B6" s="14">
        <v>107</v>
      </c>
      <c r="C6" s="7">
        <f>247-B6</f>
        <v>140</v>
      </c>
      <c r="D6" s="2">
        <v>49</v>
      </c>
      <c r="E6" s="7">
        <f>147-D6</f>
        <v>98</v>
      </c>
      <c r="F6" s="2"/>
      <c r="G6" s="6" t="s">
        <v>17</v>
      </c>
      <c r="H6" s="14">
        <v>17</v>
      </c>
      <c r="I6" s="7">
        <f>69-H6</f>
        <v>52</v>
      </c>
      <c r="J6" s="2">
        <v>20</v>
      </c>
      <c r="K6" s="7">
        <f>58-J6</f>
        <v>38</v>
      </c>
      <c r="M6" s="6" t="s">
        <v>17</v>
      </c>
      <c r="N6" s="14">
        <v>72</v>
      </c>
      <c r="O6" s="7">
        <f>230-N6</f>
        <v>158</v>
      </c>
      <c r="P6" s="2">
        <v>25</v>
      </c>
      <c r="Q6" s="7">
        <f>81-P6</f>
        <v>56</v>
      </c>
    </row>
    <row r="7" spans="1:17" x14ac:dyDescent="0.2">
      <c r="A7" s="6" t="s">
        <v>18</v>
      </c>
      <c r="B7" s="14">
        <v>15</v>
      </c>
      <c r="C7" s="7">
        <f>54-B7</f>
        <v>39</v>
      </c>
      <c r="D7" s="2">
        <v>7</v>
      </c>
      <c r="E7" s="7">
        <f>49-D7</f>
        <v>42</v>
      </c>
      <c r="F7" s="2"/>
      <c r="G7" s="6" t="s">
        <v>18</v>
      </c>
      <c r="H7" s="14">
        <v>17</v>
      </c>
      <c r="I7" s="7">
        <f>71-H7</f>
        <v>54</v>
      </c>
      <c r="J7" s="2">
        <v>43</v>
      </c>
      <c r="K7" s="7">
        <f>135-J7</f>
        <v>92</v>
      </c>
      <c r="M7" s="6" t="s">
        <v>18</v>
      </c>
      <c r="N7" s="14">
        <v>32</v>
      </c>
      <c r="O7" s="7">
        <f>72-N7</f>
        <v>40</v>
      </c>
      <c r="P7" s="2">
        <v>10</v>
      </c>
      <c r="Q7" s="7">
        <f>48-P7</f>
        <v>38</v>
      </c>
    </row>
    <row r="8" spans="1:17" x14ac:dyDescent="0.2">
      <c r="A8" s="6" t="s">
        <v>19</v>
      </c>
      <c r="B8" s="14">
        <v>47</v>
      </c>
      <c r="C8" s="7">
        <f>109-B8</f>
        <v>62</v>
      </c>
      <c r="D8" s="2">
        <v>42</v>
      </c>
      <c r="E8" s="7">
        <f>138-D8</f>
        <v>96</v>
      </c>
      <c r="F8" s="2"/>
      <c r="G8" s="6" t="s">
        <v>19</v>
      </c>
      <c r="H8" s="14">
        <v>17</v>
      </c>
      <c r="I8" s="7">
        <f>77-H8</f>
        <v>60</v>
      </c>
      <c r="J8" s="2">
        <v>44</v>
      </c>
      <c r="K8" s="7">
        <f>104-J8</f>
        <v>60</v>
      </c>
      <c r="M8" s="6" t="s">
        <v>19</v>
      </c>
      <c r="N8" s="14">
        <v>19</v>
      </c>
      <c r="O8" s="7">
        <f>80-N8</f>
        <v>61</v>
      </c>
      <c r="P8" s="2">
        <v>21</v>
      </c>
      <c r="Q8" s="7">
        <f>79-P8</f>
        <v>58</v>
      </c>
    </row>
    <row r="9" spans="1:17" x14ac:dyDescent="0.2">
      <c r="A9" s="8" t="s">
        <v>20</v>
      </c>
      <c r="B9" s="15">
        <v>62</v>
      </c>
      <c r="C9" s="10">
        <f>153-B9</f>
        <v>91</v>
      </c>
      <c r="D9" s="9">
        <v>68</v>
      </c>
      <c r="E9" s="10">
        <f>166-D9</f>
        <v>98</v>
      </c>
      <c r="F9" s="2"/>
      <c r="G9" s="8" t="s">
        <v>20</v>
      </c>
      <c r="H9" s="15">
        <v>57</v>
      </c>
      <c r="I9" s="10">
        <f>146-H9</f>
        <v>89</v>
      </c>
      <c r="J9" s="9">
        <v>19</v>
      </c>
      <c r="K9" s="10">
        <f>170-J9</f>
        <v>151</v>
      </c>
      <c r="M9" s="8" t="s">
        <v>20</v>
      </c>
      <c r="N9" s="15">
        <v>41</v>
      </c>
      <c r="O9" s="10">
        <f>131-N9</f>
        <v>90</v>
      </c>
      <c r="P9" s="9">
        <v>106</v>
      </c>
      <c r="Q9" s="10">
        <f>243-P9</f>
        <v>137</v>
      </c>
    </row>
    <row r="10" spans="1:17" x14ac:dyDescent="0.2">
      <c r="A10" s="2"/>
      <c r="B10" s="2"/>
      <c r="C10" s="2" t="s">
        <v>21</v>
      </c>
      <c r="D10" s="2"/>
      <c r="E10" s="2"/>
      <c r="F10" s="2"/>
      <c r="G10" s="2"/>
    </row>
    <row r="11" spans="1:17" x14ac:dyDescent="0.2">
      <c r="A11" s="3" t="s">
        <v>22</v>
      </c>
      <c r="B11" s="3" t="s">
        <v>1</v>
      </c>
      <c r="C11" s="5" t="s">
        <v>2</v>
      </c>
      <c r="D11" s="4" t="s">
        <v>3</v>
      </c>
      <c r="E11" s="16" t="s">
        <v>4</v>
      </c>
      <c r="G11" s="3" t="s">
        <v>22</v>
      </c>
      <c r="H11" s="3" t="s">
        <v>5</v>
      </c>
      <c r="I11" s="5" t="s">
        <v>6</v>
      </c>
      <c r="J11" s="4" t="s">
        <v>7</v>
      </c>
      <c r="K11" s="16" t="s">
        <v>8</v>
      </c>
      <c r="M11" s="3" t="s">
        <v>22</v>
      </c>
      <c r="N11" s="3" t="s">
        <v>9</v>
      </c>
      <c r="O11" s="5" t="s">
        <v>10</v>
      </c>
      <c r="P11" s="4" t="s">
        <v>11</v>
      </c>
      <c r="Q11" s="16" t="s">
        <v>12</v>
      </c>
    </row>
    <row r="12" spans="1:17" x14ac:dyDescent="0.2">
      <c r="A12" s="3" t="s">
        <v>13</v>
      </c>
      <c r="B12" s="13">
        <v>104</v>
      </c>
      <c r="C12" s="12">
        <f>321-B12</f>
        <v>217</v>
      </c>
      <c r="D12" s="11">
        <v>109</v>
      </c>
      <c r="E12" s="12">
        <f>274-D12</f>
        <v>165</v>
      </c>
      <c r="G12" s="3" t="s">
        <v>13</v>
      </c>
      <c r="H12" s="13">
        <v>56</v>
      </c>
      <c r="I12" s="12">
        <f>135-H12</f>
        <v>79</v>
      </c>
      <c r="J12" s="11">
        <v>68</v>
      </c>
      <c r="K12" s="12">
        <f>206-J12</f>
        <v>138</v>
      </c>
      <c r="M12" s="3" t="s">
        <v>13</v>
      </c>
      <c r="N12" s="13">
        <v>46</v>
      </c>
      <c r="O12" s="12">
        <f>133-N12</f>
        <v>87</v>
      </c>
      <c r="P12" s="11">
        <v>42</v>
      </c>
      <c r="Q12" s="12">
        <f>156-P12</f>
        <v>114</v>
      </c>
    </row>
    <row r="13" spans="1:17" x14ac:dyDescent="0.2">
      <c r="A13" s="6" t="s">
        <v>14</v>
      </c>
      <c r="B13" s="14">
        <v>19</v>
      </c>
      <c r="C13" s="7">
        <f>85-B13</f>
        <v>66</v>
      </c>
      <c r="D13" s="2">
        <v>24</v>
      </c>
      <c r="E13" s="7">
        <f>94-D13</f>
        <v>70</v>
      </c>
      <c r="F13" s="1"/>
      <c r="G13" s="6" t="s">
        <v>14</v>
      </c>
      <c r="H13" s="14">
        <v>74</v>
      </c>
      <c r="I13" s="7">
        <f>145-H13</f>
        <v>71</v>
      </c>
      <c r="J13" s="2">
        <v>29</v>
      </c>
      <c r="K13" s="7">
        <f>114-J13</f>
        <v>85</v>
      </c>
      <c r="M13" s="6" t="s">
        <v>14</v>
      </c>
      <c r="N13" s="14">
        <v>28</v>
      </c>
      <c r="O13" s="7">
        <f>120-N13</f>
        <v>92</v>
      </c>
      <c r="P13" s="2">
        <v>102</v>
      </c>
      <c r="Q13" s="7">
        <f>206-P13</f>
        <v>104</v>
      </c>
    </row>
    <row r="14" spans="1:17" x14ac:dyDescent="0.2">
      <c r="A14" s="6" t="s">
        <v>15</v>
      </c>
      <c r="B14" s="14">
        <v>43</v>
      </c>
      <c r="C14" s="7">
        <f>124-B14</f>
        <v>81</v>
      </c>
      <c r="D14" s="2">
        <v>20</v>
      </c>
      <c r="E14" s="7">
        <f>80-D14</f>
        <v>60</v>
      </c>
      <c r="F14" s="2"/>
      <c r="G14" s="6" t="s">
        <v>15</v>
      </c>
      <c r="H14" s="14">
        <v>64</v>
      </c>
      <c r="I14" s="7">
        <f>159-H14</f>
        <v>95</v>
      </c>
      <c r="J14" s="2">
        <v>90</v>
      </c>
      <c r="K14" s="7">
        <f>187-J14</f>
        <v>97</v>
      </c>
      <c r="M14" s="6" t="s">
        <v>15</v>
      </c>
      <c r="N14" s="19">
        <v>140</v>
      </c>
      <c r="O14" s="20">
        <f>365-N14</f>
        <v>225</v>
      </c>
      <c r="P14" s="2">
        <v>96</v>
      </c>
      <c r="Q14" s="7">
        <f>266-P14</f>
        <v>170</v>
      </c>
    </row>
    <row r="15" spans="1:17" x14ac:dyDescent="0.2">
      <c r="A15" s="6" t="s">
        <v>16</v>
      </c>
      <c r="B15" s="14">
        <v>15</v>
      </c>
      <c r="C15" s="7">
        <f>66-B15</f>
        <v>51</v>
      </c>
      <c r="D15" s="2">
        <v>45</v>
      </c>
      <c r="E15" s="7">
        <f>96-D15</f>
        <v>51</v>
      </c>
      <c r="F15" s="2"/>
      <c r="G15" s="6" t="s">
        <v>16</v>
      </c>
      <c r="H15" s="14">
        <v>16</v>
      </c>
      <c r="I15" s="7">
        <f>53-H15</f>
        <v>37</v>
      </c>
      <c r="J15" s="2">
        <v>158</v>
      </c>
      <c r="K15" s="7">
        <f>301-J15</f>
        <v>143</v>
      </c>
      <c r="M15" s="6" t="s">
        <v>16</v>
      </c>
      <c r="N15" s="14">
        <v>57</v>
      </c>
      <c r="O15" s="7">
        <f>148-N15</f>
        <v>91</v>
      </c>
      <c r="P15" s="2">
        <v>55</v>
      </c>
      <c r="Q15" s="7">
        <f>122-P15</f>
        <v>67</v>
      </c>
    </row>
    <row r="16" spans="1:17" x14ac:dyDescent="0.2">
      <c r="A16" s="6" t="s">
        <v>17</v>
      </c>
      <c r="B16" s="14">
        <v>85</v>
      </c>
      <c r="C16" s="7">
        <f>107-B16</f>
        <v>22</v>
      </c>
      <c r="D16" s="2">
        <v>20</v>
      </c>
      <c r="E16" s="7">
        <f>54-D16</f>
        <v>34</v>
      </c>
      <c r="F16" s="2"/>
      <c r="G16" s="6" t="s">
        <v>17</v>
      </c>
      <c r="H16" s="14">
        <v>70</v>
      </c>
      <c r="I16" s="7">
        <f>148-H16</f>
        <v>78</v>
      </c>
      <c r="J16" s="2">
        <v>84</v>
      </c>
      <c r="K16" s="7">
        <f>158-J16</f>
        <v>74</v>
      </c>
      <c r="M16" s="6" t="s">
        <v>17</v>
      </c>
      <c r="N16" s="14">
        <v>87</v>
      </c>
      <c r="O16" s="7">
        <f>180-N16</f>
        <v>93</v>
      </c>
      <c r="P16" s="2">
        <v>15</v>
      </c>
      <c r="Q16" s="7">
        <f>58-P16</f>
        <v>43</v>
      </c>
    </row>
    <row r="17" spans="1:17" x14ac:dyDescent="0.2">
      <c r="A17" s="6" t="s">
        <v>18</v>
      </c>
      <c r="B17" s="14">
        <v>106</v>
      </c>
      <c r="C17" s="7">
        <f>263-B17</f>
        <v>157</v>
      </c>
      <c r="D17" s="2">
        <v>30</v>
      </c>
      <c r="E17" s="7">
        <f>80-D17</f>
        <v>50</v>
      </c>
      <c r="F17" s="2"/>
      <c r="G17" s="6" t="s">
        <v>18</v>
      </c>
      <c r="H17" s="14">
        <v>25</v>
      </c>
      <c r="I17" s="7">
        <f>64-H17</f>
        <v>39</v>
      </c>
      <c r="J17" s="2">
        <v>15</v>
      </c>
      <c r="K17" s="7">
        <f>52-J17</f>
        <v>37</v>
      </c>
      <c r="M17" s="6" t="s">
        <v>18</v>
      </c>
      <c r="N17" s="14">
        <v>50</v>
      </c>
      <c r="O17" s="7">
        <f>124-N17</f>
        <v>74</v>
      </c>
      <c r="P17" s="2">
        <v>62</v>
      </c>
      <c r="Q17" s="7">
        <f>121-P17</f>
        <v>59</v>
      </c>
    </row>
    <row r="18" spans="1:17" x14ac:dyDescent="0.2">
      <c r="A18" s="6" t="s">
        <v>19</v>
      </c>
      <c r="B18" s="14">
        <v>76</v>
      </c>
      <c r="C18" s="7">
        <f>174-B18</f>
        <v>98</v>
      </c>
      <c r="D18" s="2">
        <v>96</v>
      </c>
      <c r="E18" s="7">
        <f>235-D18</f>
        <v>139</v>
      </c>
      <c r="F18" s="2"/>
      <c r="G18" s="6" t="s">
        <v>19</v>
      </c>
      <c r="H18" s="14">
        <v>144</v>
      </c>
      <c r="I18" s="7">
        <f>280-H18</f>
        <v>136</v>
      </c>
      <c r="J18" s="2">
        <v>72</v>
      </c>
      <c r="K18" s="7">
        <f>158-J18</f>
        <v>86</v>
      </c>
      <c r="M18" s="6" t="s">
        <v>19</v>
      </c>
      <c r="N18" s="14">
        <v>111</v>
      </c>
      <c r="O18" s="7">
        <f>277-N18</f>
        <v>166</v>
      </c>
      <c r="P18" s="2">
        <v>60</v>
      </c>
      <c r="Q18" s="7">
        <f>162-P18</f>
        <v>102</v>
      </c>
    </row>
    <row r="19" spans="1:17" x14ac:dyDescent="0.2">
      <c r="A19" s="8" t="s">
        <v>20</v>
      </c>
      <c r="B19" s="15">
        <v>29</v>
      </c>
      <c r="C19" s="10">
        <f>90-B19</f>
        <v>61</v>
      </c>
      <c r="D19" s="9">
        <v>16</v>
      </c>
      <c r="E19" s="10">
        <f>51-D19</f>
        <v>35</v>
      </c>
      <c r="F19" s="2"/>
      <c r="G19" s="8" t="s">
        <v>20</v>
      </c>
      <c r="H19" s="15">
        <v>14</v>
      </c>
      <c r="I19" s="10">
        <f>57-H19</f>
        <v>43</v>
      </c>
      <c r="J19" s="9">
        <v>12</v>
      </c>
      <c r="K19" s="10">
        <f>70-J19</f>
        <v>58</v>
      </c>
      <c r="M19" s="8" t="s">
        <v>20</v>
      </c>
      <c r="N19" s="15">
        <v>31</v>
      </c>
      <c r="O19" s="10">
        <f>102-N19</f>
        <v>71</v>
      </c>
      <c r="P19" s="9">
        <v>47</v>
      </c>
      <c r="Q19" s="10">
        <f>168-P19</f>
        <v>121</v>
      </c>
    </row>
    <row r="20" spans="1:17" x14ac:dyDescent="0.2">
      <c r="A20" s="1"/>
      <c r="B20" s="2"/>
      <c r="C20" s="2"/>
      <c r="D20" s="2"/>
      <c r="E20" s="2"/>
      <c r="F20" s="2"/>
      <c r="G20" s="2"/>
    </row>
    <row r="21" spans="1:17" x14ac:dyDescent="0.2">
      <c r="A21" s="1" t="s">
        <v>23</v>
      </c>
      <c r="B21" s="2"/>
      <c r="C21" s="2"/>
      <c r="D21" s="2"/>
      <c r="E21" s="2"/>
      <c r="F21" s="2"/>
      <c r="G21" s="29" t="s">
        <v>0</v>
      </c>
      <c r="H21" s="27" t="s">
        <v>1</v>
      </c>
      <c r="I21" s="16" t="s">
        <v>2</v>
      </c>
      <c r="J21" s="27" t="s">
        <v>5</v>
      </c>
      <c r="K21" s="16" t="s">
        <v>6</v>
      </c>
      <c r="L21" s="28" t="s">
        <v>9</v>
      </c>
      <c r="M21" s="16" t="s">
        <v>10</v>
      </c>
    </row>
    <row r="22" spans="1:17" x14ac:dyDescent="0.2">
      <c r="G22" s="30" t="s">
        <v>18</v>
      </c>
      <c r="H22" s="2">
        <v>25</v>
      </c>
      <c r="I22" s="7">
        <f>82-H22</f>
        <v>57</v>
      </c>
      <c r="J22" s="2">
        <v>17</v>
      </c>
      <c r="K22" s="7">
        <f>62-J22</f>
        <v>45</v>
      </c>
      <c r="L22" s="2">
        <v>32</v>
      </c>
      <c r="M22" s="7">
        <f>128-L22</f>
        <v>96</v>
      </c>
    </row>
    <row r="23" spans="1:17" x14ac:dyDescent="0.2">
      <c r="G23" s="30" t="s">
        <v>19</v>
      </c>
      <c r="H23" s="2">
        <v>145</v>
      </c>
      <c r="I23" s="7">
        <f>326-H23</f>
        <v>181</v>
      </c>
      <c r="J23" s="2">
        <v>90</v>
      </c>
      <c r="K23" s="7">
        <f>167-J23</f>
        <v>77</v>
      </c>
      <c r="L23" s="2">
        <v>56</v>
      </c>
      <c r="M23" s="7">
        <f>104-L23</f>
        <v>48</v>
      </c>
    </row>
    <row r="24" spans="1:17" x14ac:dyDescent="0.2">
      <c r="G24" s="31" t="s">
        <v>20</v>
      </c>
      <c r="H24" s="9">
        <v>42</v>
      </c>
      <c r="I24" s="10">
        <f>135-H24</f>
        <v>93</v>
      </c>
      <c r="J24" s="9">
        <v>41</v>
      </c>
      <c r="K24" s="10">
        <f>114-J24</f>
        <v>73</v>
      </c>
      <c r="L24" s="9">
        <v>196</v>
      </c>
      <c r="M24" s="10">
        <f>437-L24</f>
        <v>241</v>
      </c>
    </row>
    <row r="26" spans="1:17" x14ac:dyDescent="0.2">
      <c r="G26" s="29" t="s">
        <v>22</v>
      </c>
      <c r="H26" s="27" t="s">
        <v>1</v>
      </c>
      <c r="I26" s="16" t="s">
        <v>2</v>
      </c>
      <c r="J26" s="27" t="s">
        <v>5</v>
      </c>
      <c r="K26" s="16" t="s">
        <v>6</v>
      </c>
      <c r="L26" s="28" t="s">
        <v>9</v>
      </c>
      <c r="M26" s="16" t="s">
        <v>10</v>
      </c>
    </row>
    <row r="27" spans="1:17" x14ac:dyDescent="0.2">
      <c r="G27" s="30" t="s">
        <v>18</v>
      </c>
      <c r="H27" s="2">
        <v>46</v>
      </c>
      <c r="I27" s="7">
        <f>92-H27</f>
        <v>46</v>
      </c>
      <c r="J27" s="37" t="s">
        <v>24</v>
      </c>
      <c r="K27" s="18" t="s">
        <v>24</v>
      </c>
      <c r="L27" s="2">
        <v>20</v>
      </c>
      <c r="M27" s="7">
        <f>69-L27</f>
        <v>49</v>
      </c>
    </row>
    <row r="28" spans="1:17" x14ac:dyDescent="0.2">
      <c r="G28" s="30" t="s">
        <v>19</v>
      </c>
      <c r="H28" s="2">
        <v>59</v>
      </c>
      <c r="I28" s="7">
        <f>191-H28</f>
        <v>132</v>
      </c>
      <c r="J28" s="2">
        <v>74</v>
      </c>
      <c r="K28" s="7">
        <f>169-J28</f>
        <v>95</v>
      </c>
      <c r="L28" s="2">
        <v>116</v>
      </c>
      <c r="M28" s="7">
        <f>279-L28</f>
        <v>163</v>
      </c>
    </row>
    <row r="29" spans="1:17" x14ac:dyDescent="0.2">
      <c r="G29" s="31" t="s">
        <v>20</v>
      </c>
      <c r="H29" s="9">
        <v>68</v>
      </c>
      <c r="I29" s="10">
        <f>151-H29</f>
        <v>83</v>
      </c>
      <c r="J29" s="9">
        <v>16</v>
      </c>
      <c r="K29" s="10">
        <f>46-J29</f>
        <v>30</v>
      </c>
      <c r="L29" s="9">
        <v>146</v>
      </c>
      <c r="M29" s="10">
        <f>390-L29</f>
        <v>244</v>
      </c>
    </row>
    <row r="32" spans="1:17" x14ac:dyDescent="0.2">
      <c r="I3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66E4-A1E1-3A49-9E34-465496CBA8D5}">
  <dimension ref="A1:AC75"/>
  <sheetViews>
    <sheetView workbookViewId="0">
      <selection activeCell="P24" sqref="P24"/>
    </sheetView>
  </sheetViews>
  <sheetFormatPr baseColWidth="10" defaultColWidth="11" defaultRowHeight="16" x14ac:dyDescent="0.2"/>
  <sheetData>
    <row r="1" spans="1:17" x14ac:dyDescent="0.2">
      <c r="A1" s="3" t="s">
        <v>0</v>
      </c>
      <c r="B1" s="3" t="s">
        <v>1</v>
      </c>
      <c r="C1" s="5" t="s">
        <v>2</v>
      </c>
      <c r="D1" s="4" t="s">
        <v>3</v>
      </c>
      <c r="E1" s="16" t="s">
        <v>4</v>
      </c>
      <c r="G1" s="3" t="s">
        <v>0</v>
      </c>
      <c r="H1" s="3" t="s">
        <v>5</v>
      </c>
      <c r="I1" s="5" t="s">
        <v>6</v>
      </c>
      <c r="J1" s="4" t="s">
        <v>7</v>
      </c>
      <c r="K1" s="16" t="s">
        <v>8</v>
      </c>
      <c r="M1" s="3" t="s">
        <v>0</v>
      </c>
      <c r="N1" s="3" t="s">
        <v>9</v>
      </c>
      <c r="O1" s="5" t="s">
        <v>10</v>
      </c>
      <c r="P1" s="4" t="s">
        <v>11</v>
      </c>
      <c r="Q1" s="16" t="s">
        <v>12</v>
      </c>
    </row>
    <row r="2" spans="1:17" x14ac:dyDescent="0.2">
      <c r="A2" s="3" t="s">
        <v>13</v>
      </c>
      <c r="B2" s="13">
        <v>7</v>
      </c>
      <c r="C2" s="12">
        <f>7-B2</f>
        <v>0</v>
      </c>
      <c r="D2" s="11">
        <v>4</v>
      </c>
      <c r="E2" s="12">
        <f>5-D2</f>
        <v>1</v>
      </c>
      <c r="F2" s="2"/>
      <c r="G2" s="3" t="s">
        <v>13</v>
      </c>
      <c r="H2" s="13">
        <v>3</v>
      </c>
      <c r="I2" s="12">
        <f>5-H2</f>
        <v>2</v>
      </c>
      <c r="J2" s="11">
        <v>9</v>
      </c>
      <c r="K2" s="12">
        <f>11-J2</f>
        <v>2</v>
      </c>
      <c r="M2" s="3" t="s">
        <v>13</v>
      </c>
      <c r="N2" s="13">
        <v>16</v>
      </c>
      <c r="O2" s="12">
        <f>23-N2</f>
        <v>7</v>
      </c>
      <c r="P2" s="11">
        <v>5</v>
      </c>
      <c r="Q2" s="12">
        <f>10-P2</f>
        <v>5</v>
      </c>
    </row>
    <row r="3" spans="1:17" x14ac:dyDescent="0.2">
      <c r="A3" s="6" t="s">
        <v>14</v>
      </c>
      <c r="B3" s="14">
        <v>16</v>
      </c>
      <c r="C3" s="7">
        <f>17-B3</f>
        <v>1</v>
      </c>
      <c r="D3" s="2">
        <v>41</v>
      </c>
      <c r="E3" s="7">
        <f>50</f>
        <v>50</v>
      </c>
      <c r="F3" s="2"/>
      <c r="G3" s="6" t="s">
        <v>14</v>
      </c>
      <c r="H3" s="14">
        <v>3</v>
      </c>
      <c r="I3" s="7">
        <f>4-H3</f>
        <v>1</v>
      </c>
      <c r="J3" s="2">
        <v>10</v>
      </c>
      <c r="K3" s="7">
        <f>13-J3</f>
        <v>3</v>
      </c>
      <c r="M3" s="6" t="s">
        <v>14</v>
      </c>
      <c r="N3" s="14">
        <v>7</v>
      </c>
      <c r="O3" s="7">
        <f>27-N3</f>
        <v>20</v>
      </c>
      <c r="P3" s="2">
        <v>2</v>
      </c>
      <c r="Q3" s="7">
        <f>3-P3</f>
        <v>1</v>
      </c>
    </row>
    <row r="4" spans="1:17" x14ac:dyDescent="0.2">
      <c r="A4" s="6" t="s">
        <v>15</v>
      </c>
      <c r="B4" s="14">
        <v>5</v>
      </c>
      <c r="C4" s="7">
        <f>20-B4</f>
        <v>15</v>
      </c>
      <c r="D4" s="2">
        <v>0</v>
      </c>
      <c r="E4" s="7">
        <v>0</v>
      </c>
      <c r="F4" s="2"/>
      <c r="G4" s="6" t="s">
        <v>15</v>
      </c>
      <c r="H4" s="14">
        <v>7</v>
      </c>
      <c r="I4" s="7">
        <f>7-H4</f>
        <v>0</v>
      </c>
      <c r="J4" s="2">
        <v>42</v>
      </c>
      <c r="K4" s="7">
        <f>50-J4</f>
        <v>8</v>
      </c>
      <c r="M4" s="6" t="s">
        <v>15</v>
      </c>
      <c r="N4" s="14">
        <v>15</v>
      </c>
      <c r="O4" s="7">
        <f>19-N4</f>
        <v>4</v>
      </c>
      <c r="P4" s="2">
        <v>0</v>
      </c>
      <c r="Q4" s="7">
        <v>1</v>
      </c>
    </row>
    <row r="5" spans="1:17" x14ac:dyDescent="0.2">
      <c r="A5" s="6" t="s">
        <v>16</v>
      </c>
      <c r="B5" s="14">
        <v>3</v>
      </c>
      <c r="C5" s="7">
        <f>3-B5</f>
        <v>0</v>
      </c>
      <c r="D5" s="2">
        <v>15</v>
      </c>
      <c r="E5" s="7">
        <f>23-D5</f>
        <v>8</v>
      </c>
      <c r="F5" s="2"/>
      <c r="G5" s="6" t="s">
        <v>16</v>
      </c>
      <c r="H5" s="14">
        <v>2</v>
      </c>
      <c r="I5" s="7">
        <f>4-H5</f>
        <v>2</v>
      </c>
      <c r="J5" s="17" t="s">
        <v>24</v>
      </c>
      <c r="K5" s="18" t="s">
        <v>24</v>
      </c>
      <c r="M5" s="6" t="s">
        <v>16</v>
      </c>
      <c r="N5" s="14">
        <v>6</v>
      </c>
      <c r="O5" s="7">
        <f>8-N5</f>
        <v>2</v>
      </c>
      <c r="P5" s="2">
        <v>1</v>
      </c>
      <c r="Q5" s="7">
        <f>1-P5</f>
        <v>0</v>
      </c>
    </row>
    <row r="6" spans="1:17" x14ac:dyDescent="0.2">
      <c r="A6" s="6" t="s">
        <v>17</v>
      </c>
      <c r="B6" s="14">
        <v>27</v>
      </c>
      <c r="C6" s="7">
        <f>47-B6</f>
        <v>20</v>
      </c>
      <c r="D6" s="2">
        <v>11</v>
      </c>
      <c r="E6" s="7">
        <f>17-D6</f>
        <v>6</v>
      </c>
      <c r="F6" s="2"/>
      <c r="G6" s="6" t="s">
        <v>17</v>
      </c>
      <c r="H6" s="14">
        <v>0</v>
      </c>
      <c r="I6" s="7">
        <v>2</v>
      </c>
      <c r="J6" s="2">
        <v>6</v>
      </c>
      <c r="K6" s="7">
        <f>8-J6</f>
        <v>2</v>
      </c>
      <c r="M6" s="6" t="s">
        <v>17</v>
      </c>
      <c r="N6" s="14">
        <v>12</v>
      </c>
      <c r="O6" s="7">
        <f>15-N6</f>
        <v>3</v>
      </c>
      <c r="P6" s="2">
        <v>3</v>
      </c>
      <c r="Q6" s="7">
        <f>5-P6</f>
        <v>2</v>
      </c>
    </row>
    <row r="7" spans="1:17" x14ac:dyDescent="0.2">
      <c r="A7" s="6" t="s">
        <v>18</v>
      </c>
      <c r="B7" s="14">
        <v>14</v>
      </c>
      <c r="C7" s="7">
        <f>15-B7</f>
        <v>1</v>
      </c>
      <c r="D7" s="2">
        <v>15</v>
      </c>
      <c r="E7" s="7">
        <f>15-D7</f>
        <v>0</v>
      </c>
      <c r="F7" s="2"/>
      <c r="G7" s="6" t="s">
        <v>18</v>
      </c>
      <c r="H7" s="14">
        <v>26</v>
      </c>
      <c r="I7" s="7">
        <f>29-H7</f>
        <v>3</v>
      </c>
      <c r="J7" s="17" t="s">
        <v>24</v>
      </c>
      <c r="K7" s="18" t="s">
        <v>24</v>
      </c>
      <c r="M7" s="6" t="s">
        <v>18</v>
      </c>
      <c r="N7" s="17" t="s">
        <v>24</v>
      </c>
      <c r="O7" s="18" t="s">
        <v>24</v>
      </c>
      <c r="P7" s="2">
        <v>19</v>
      </c>
      <c r="Q7" s="7">
        <f>20-P7</f>
        <v>1</v>
      </c>
    </row>
    <row r="8" spans="1:17" x14ac:dyDescent="0.2">
      <c r="A8" s="6" t="s">
        <v>19</v>
      </c>
      <c r="B8" s="14">
        <v>24</v>
      </c>
      <c r="C8" s="7">
        <f>28-B8</f>
        <v>4</v>
      </c>
      <c r="D8" s="2">
        <v>89</v>
      </c>
      <c r="E8" s="7">
        <f>107-D8</f>
        <v>18</v>
      </c>
      <c r="F8" s="2"/>
      <c r="G8" s="6" t="s">
        <v>19</v>
      </c>
      <c r="H8" s="14">
        <v>20</v>
      </c>
      <c r="I8" s="7">
        <f>21-H8</f>
        <v>1</v>
      </c>
      <c r="J8" s="2">
        <v>10</v>
      </c>
      <c r="K8" s="7">
        <f>11-J8</f>
        <v>1</v>
      </c>
      <c r="M8" s="6" t="s">
        <v>19</v>
      </c>
      <c r="N8" s="14">
        <v>31</v>
      </c>
      <c r="O8" s="7">
        <f>64-N8</f>
        <v>33</v>
      </c>
      <c r="P8" s="2">
        <v>10</v>
      </c>
      <c r="Q8" s="7">
        <f>13-P8</f>
        <v>3</v>
      </c>
    </row>
    <row r="9" spans="1:17" x14ac:dyDescent="0.2">
      <c r="A9" s="8" t="s">
        <v>20</v>
      </c>
      <c r="B9" s="15">
        <v>0</v>
      </c>
      <c r="C9" s="10">
        <v>7</v>
      </c>
      <c r="D9" s="9">
        <v>5</v>
      </c>
      <c r="E9" s="10">
        <f>7-D9</f>
        <v>2</v>
      </c>
      <c r="F9" s="2"/>
      <c r="G9" s="8" t="s">
        <v>20</v>
      </c>
      <c r="H9" s="15">
        <v>17</v>
      </c>
      <c r="I9" s="10">
        <f>18-H9</f>
        <v>1</v>
      </c>
      <c r="J9" s="9">
        <v>30</v>
      </c>
      <c r="K9" s="10">
        <f>39-J9</f>
        <v>9</v>
      </c>
      <c r="M9" s="8" t="s">
        <v>20</v>
      </c>
      <c r="N9" s="15">
        <v>5</v>
      </c>
      <c r="O9" s="10">
        <f>14</f>
        <v>14</v>
      </c>
      <c r="P9" s="9">
        <v>3</v>
      </c>
      <c r="Q9" s="10">
        <f>5-P9</f>
        <v>2</v>
      </c>
    </row>
    <row r="10" spans="1:17" x14ac:dyDescent="0.2">
      <c r="A10" s="2"/>
      <c r="B10" s="2"/>
      <c r="C10" s="2" t="s">
        <v>21</v>
      </c>
      <c r="D10" s="2"/>
      <c r="E10" s="2"/>
      <c r="F10" s="2"/>
      <c r="G10" s="2"/>
    </row>
    <row r="11" spans="1:17" x14ac:dyDescent="0.2">
      <c r="A11" s="3" t="s">
        <v>22</v>
      </c>
      <c r="B11" s="3" t="s">
        <v>1</v>
      </c>
      <c r="C11" s="5" t="s">
        <v>2</v>
      </c>
      <c r="D11" s="4" t="s">
        <v>3</v>
      </c>
      <c r="E11" s="16" t="s">
        <v>4</v>
      </c>
      <c r="G11" s="3" t="s">
        <v>22</v>
      </c>
      <c r="H11" s="3" t="s">
        <v>5</v>
      </c>
      <c r="I11" s="5" t="s">
        <v>6</v>
      </c>
      <c r="J11" s="4" t="s">
        <v>7</v>
      </c>
      <c r="K11" s="16" t="s">
        <v>8</v>
      </c>
      <c r="M11" s="3" t="s">
        <v>22</v>
      </c>
      <c r="N11" s="3" t="s">
        <v>9</v>
      </c>
      <c r="O11" s="5" t="s">
        <v>10</v>
      </c>
      <c r="P11" s="4" t="s">
        <v>11</v>
      </c>
      <c r="Q11" s="16" t="s">
        <v>12</v>
      </c>
    </row>
    <row r="12" spans="1:17" x14ac:dyDescent="0.2">
      <c r="A12" s="3" t="s">
        <v>13</v>
      </c>
      <c r="B12" s="13">
        <v>7</v>
      </c>
      <c r="C12" s="12">
        <f>9-B12</f>
        <v>2</v>
      </c>
      <c r="D12" s="11">
        <v>6</v>
      </c>
      <c r="E12" s="12">
        <f>7-D12</f>
        <v>1</v>
      </c>
      <c r="G12" s="3" t="s">
        <v>13</v>
      </c>
      <c r="H12" s="13">
        <v>30</v>
      </c>
      <c r="I12" s="12">
        <f>65-H12</f>
        <v>35</v>
      </c>
      <c r="J12" s="11">
        <v>124</v>
      </c>
      <c r="K12" s="12">
        <f>125-J12</f>
        <v>1</v>
      </c>
      <c r="M12" s="3" t="s">
        <v>13</v>
      </c>
      <c r="N12" s="13">
        <v>5</v>
      </c>
      <c r="O12" s="12">
        <f>9-N12</f>
        <v>4</v>
      </c>
      <c r="P12" s="11">
        <v>14</v>
      </c>
      <c r="Q12" s="12">
        <f>16-P12</f>
        <v>2</v>
      </c>
    </row>
    <row r="13" spans="1:17" x14ac:dyDescent="0.2">
      <c r="A13" s="6" t="s">
        <v>14</v>
      </c>
      <c r="B13" s="14">
        <v>33</v>
      </c>
      <c r="C13" s="7">
        <f>34-B13</f>
        <v>1</v>
      </c>
      <c r="D13" s="2">
        <v>30</v>
      </c>
      <c r="E13" s="7">
        <f>31-D13</f>
        <v>1</v>
      </c>
      <c r="F13" s="1"/>
      <c r="G13" s="6" t="s">
        <v>14</v>
      </c>
      <c r="H13" s="14">
        <v>76</v>
      </c>
      <c r="I13" s="7">
        <f>91-H13</f>
        <v>15</v>
      </c>
      <c r="J13" s="2">
        <v>70</v>
      </c>
      <c r="K13" s="7">
        <f>78-J13</f>
        <v>8</v>
      </c>
      <c r="M13" s="6" t="s">
        <v>14</v>
      </c>
      <c r="N13" s="14">
        <v>0</v>
      </c>
      <c r="O13" s="7">
        <v>1</v>
      </c>
      <c r="P13" s="2">
        <v>28</v>
      </c>
      <c r="Q13" s="7">
        <f>29-P13</f>
        <v>1</v>
      </c>
    </row>
    <row r="14" spans="1:17" x14ac:dyDescent="0.2">
      <c r="A14" s="6" t="s">
        <v>15</v>
      </c>
      <c r="B14" s="14">
        <v>9</v>
      </c>
      <c r="C14" s="7">
        <f>14-B14</f>
        <v>5</v>
      </c>
      <c r="D14" s="2">
        <v>10</v>
      </c>
      <c r="E14" s="7">
        <f>15-D14</f>
        <v>5</v>
      </c>
      <c r="F14" s="2"/>
      <c r="G14" s="6" t="s">
        <v>15</v>
      </c>
      <c r="H14" s="14">
        <v>7</v>
      </c>
      <c r="I14" s="7">
        <f>8-H14</f>
        <v>1</v>
      </c>
      <c r="J14" s="2">
        <v>15</v>
      </c>
      <c r="K14" s="7">
        <f>18-J14</f>
        <v>3</v>
      </c>
      <c r="M14" s="6" t="s">
        <v>15</v>
      </c>
      <c r="N14" s="19">
        <v>0</v>
      </c>
      <c r="O14" s="20">
        <v>0</v>
      </c>
      <c r="P14" s="2">
        <v>10</v>
      </c>
      <c r="Q14" s="7">
        <f>10-P14</f>
        <v>0</v>
      </c>
    </row>
    <row r="15" spans="1:17" x14ac:dyDescent="0.2">
      <c r="A15" s="6" t="s">
        <v>16</v>
      </c>
      <c r="B15" s="14">
        <v>3</v>
      </c>
      <c r="C15" s="7">
        <f>3-B15</f>
        <v>0</v>
      </c>
      <c r="D15">
        <v>4</v>
      </c>
      <c r="E15" s="7">
        <f>4-D15</f>
        <v>0</v>
      </c>
      <c r="F15" s="2"/>
      <c r="G15" s="6" t="s">
        <v>16</v>
      </c>
      <c r="H15" s="14">
        <v>12</v>
      </c>
      <c r="I15" s="7">
        <f>26-H15</f>
        <v>14</v>
      </c>
      <c r="J15" s="2">
        <v>18</v>
      </c>
      <c r="K15" s="7">
        <f>32-J15</f>
        <v>14</v>
      </c>
      <c r="M15" s="6" t="s">
        <v>16</v>
      </c>
      <c r="N15" s="14">
        <v>4</v>
      </c>
      <c r="O15" s="7">
        <f>4-N15</f>
        <v>0</v>
      </c>
      <c r="P15" s="2">
        <v>7</v>
      </c>
      <c r="Q15" s="7">
        <f>8-P15</f>
        <v>1</v>
      </c>
    </row>
    <row r="16" spans="1:17" x14ac:dyDescent="0.2">
      <c r="A16" s="6" t="s">
        <v>17</v>
      </c>
      <c r="B16" s="17" t="s">
        <v>24</v>
      </c>
      <c r="C16" s="18" t="s">
        <v>24</v>
      </c>
      <c r="D16" s="2">
        <v>2</v>
      </c>
      <c r="E16" s="7">
        <f>3-D16</f>
        <v>1</v>
      </c>
      <c r="F16" s="2"/>
      <c r="G16" s="6" t="s">
        <v>17</v>
      </c>
      <c r="H16" s="14">
        <v>7</v>
      </c>
      <c r="I16" s="7">
        <f>17-H16</f>
        <v>10</v>
      </c>
      <c r="J16" s="2">
        <v>15</v>
      </c>
      <c r="K16" s="7">
        <f>16-J16</f>
        <v>1</v>
      </c>
      <c r="M16" s="6" t="s">
        <v>17</v>
      </c>
      <c r="N16" s="14">
        <v>6</v>
      </c>
      <c r="O16" s="7">
        <f>8-N16</f>
        <v>2</v>
      </c>
      <c r="P16" s="2">
        <v>8</v>
      </c>
      <c r="Q16" s="7">
        <f>9-P16</f>
        <v>1</v>
      </c>
    </row>
    <row r="17" spans="1:29" x14ac:dyDescent="0.2">
      <c r="A17" s="6" t="s">
        <v>18</v>
      </c>
      <c r="B17" s="14">
        <v>10</v>
      </c>
      <c r="C17" s="7">
        <f>10-B17</f>
        <v>0</v>
      </c>
      <c r="D17" s="2">
        <v>16</v>
      </c>
      <c r="E17" s="7">
        <f>17-D17</f>
        <v>1</v>
      </c>
      <c r="F17" s="2"/>
      <c r="G17" s="6" t="s">
        <v>18</v>
      </c>
      <c r="H17" s="14">
        <v>0</v>
      </c>
      <c r="I17" s="7">
        <v>0</v>
      </c>
      <c r="J17" s="2">
        <v>2</v>
      </c>
      <c r="K17" s="7">
        <f>4-J17</f>
        <v>2</v>
      </c>
      <c r="M17" s="6" t="s">
        <v>18</v>
      </c>
      <c r="N17" s="14">
        <v>4</v>
      </c>
      <c r="O17" s="7">
        <f>6-N17</f>
        <v>2</v>
      </c>
      <c r="P17" s="17" t="s">
        <v>24</v>
      </c>
      <c r="Q17" s="18" t="s">
        <v>24</v>
      </c>
    </row>
    <row r="18" spans="1:29" x14ac:dyDescent="0.2">
      <c r="A18" s="6" t="s">
        <v>19</v>
      </c>
      <c r="B18" s="14">
        <v>10</v>
      </c>
      <c r="C18" s="7">
        <f>11-B18</f>
        <v>1</v>
      </c>
      <c r="D18" s="2">
        <v>10</v>
      </c>
      <c r="E18" s="7">
        <f>12-D18</f>
        <v>2</v>
      </c>
      <c r="F18" s="2"/>
      <c r="G18" s="6" t="s">
        <v>19</v>
      </c>
      <c r="H18" s="14">
        <v>30</v>
      </c>
      <c r="I18" s="7">
        <f>36-H18</f>
        <v>6</v>
      </c>
      <c r="J18" s="2">
        <v>28</v>
      </c>
      <c r="K18" s="7">
        <f>30-J18</f>
        <v>2</v>
      </c>
      <c r="M18" s="6" t="s">
        <v>19</v>
      </c>
      <c r="N18" s="14">
        <v>5</v>
      </c>
      <c r="O18" s="7">
        <f>7-N18</f>
        <v>2</v>
      </c>
      <c r="P18" s="2">
        <v>6</v>
      </c>
      <c r="Q18" s="7">
        <f>11-P18</f>
        <v>5</v>
      </c>
    </row>
    <row r="19" spans="1:29" x14ac:dyDescent="0.2">
      <c r="A19" s="8" t="s">
        <v>20</v>
      </c>
      <c r="B19" s="15">
        <v>48</v>
      </c>
      <c r="C19" s="10">
        <f>63-B19</f>
        <v>15</v>
      </c>
      <c r="D19" s="58" t="s">
        <v>24</v>
      </c>
      <c r="E19" s="40" t="s">
        <v>24</v>
      </c>
      <c r="F19" s="2"/>
      <c r="G19" s="8" t="s">
        <v>20</v>
      </c>
      <c r="H19" s="15">
        <v>33</v>
      </c>
      <c r="I19" s="10">
        <f>34-H19</f>
        <v>1</v>
      </c>
      <c r="J19" s="9">
        <v>29</v>
      </c>
      <c r="K19" s="10">
        <f>29-J19</f>
        <v>0</v>
      </c>
      <c r="M19" s="8" t="s">
        <v>20</v>
      </c>
      <c r="N19" s="15">
        <v>14</v>
      </c>
      <c r="O19" s="10">
        <f>40-N19</f>
        <v>26</v>
      </c>
      <c r="P19" s="9">
        <v>33</v>
      </c>
      <c r="Q19" s="10">
        <f>36-P19</f>
        <v>3</v>
      </c>
    </row>
    <row r="20" spans="1:29" x14ac:dyDescent="0.2">
      <c r="A20" s="1"/>
      <c r="B20" s="2"/>
      <c r="C20" s="2"/>
      <c r="D20" s="2"/>
      <c r="E20" s="2"/>
      <c r="F20" s="2"/>
      <c r="G20" s="2"/>
    </row>
    <row r="21" spans="1:29" x14ac:dyDescent="0.2">
      <c r="A21" s="1" t="s">
        <v>25</v>
      </c>
      <c r="B21" s="2"/>
      <c r="C21" s="2"/>
      <c r="D21" s="2"/>
      <c r="E21" s="2"/>
      <c r="F21" s="2"/>
      <c r="G21" s="29" t="s">
        <v>0</v>
      </c>
      <c r="H21" s="27" t="s">
        <v>1</v>
      </c>
      <c r="I21" s="16" t="s">
        <v>2</v>
      </c>
      <c r="J21" s="27" t="s">
        <v>5</v>
      </c>
      <c r="K21" s="16" t="s">
        <v>6</v>
      </c>
      <c r="L21" s="28" t="s">
        <v>9</v>
      </c>
      <c r="M21" s="16" t="s">
        <v>10</v>
      </c>
    </row>
    <row r="22" spans="1:29" x14ac:dyDescent="0.2">
      <c r="A22" s="1" t="s">
        <v>26</v>
      </c>
      <c r="G22" s="30" t="s">
        <v>18</v>
      </c>
      <c r="H22" s="17" t="s">
        <v>24</v>
      </c>
      <c r="I22" s="18" t="s">
        <v>24</v>
      </c>
      <c r="J22" s="32">
        <v>1</v>
      </c>
      <c r="K22" s="25">
        <f>2-J22</f>
        <v>1</v>
      </c>
      <c r="L22" s="17" t="s">
        <v>24</v>
      </c>
      <c r="M22" s="18" t="s">
        <v>24</v>
      </c>
    </row>
    <row r="23" spans="1:29" x14ac:dyDescent="0.2">
      <c r="G23" s="30" t="s">
        <v>19</v>
      </c>
      <c r="H23" s="32">
        <v>0</v>
      </c>
      <c r="I23" s="25">
        <v>0</v>
      </c>
      <c r="J23" s="32">
        <v>101</v>
      </c>
      <c r="K23" s="25">
        <f>108-J23</f>
        <v>7</v>
      </c>
      <c r="L23" s="17" t="s">
        <v>24</v>
      </c>
      <c r="M23" s="18" t="s">
        <v>24</v>
      </c>
    </row>
    <row r="24" spans="1:29" x14ac:dyDescent="0.2">
      <c r="G24" s="31" t="s">
        <v>20</v>
      </c>
      <c r="H24" s="58" t="s">
        <v>24</v>
      </c>
      <c r="I24" s="40" t="s">
        <v>24</v>
      </c>
      <c r="J24" s="33">
        <v>70</v>
      </c>
      <c r="K24" s="26">
        <f>74-J24</f>
        <v>4</v>
      </c>
      <c r="L24" s="58" t="s">
        <v>24</v>
      </c>
      <c r="M24" s="40" t="s">
        <v>24</v>
      </c>
    </row>
    <row r="26" spans="1:29" x14ac:dyDescent="0.2">
      <c r="G26" s="29" t="s">
        <v>22</v>
      </c>
      <c r="H26" s="27" t="s">
        <v>1</v>
      </c>
      <c r="I26" s="16" t="s">
        <v>2</v>
      </c>
      <c r="J26" s="27" t="s">
        <v>5</v>
      </c>
      <c r="K26" s="16" t="s">
        <v>6</v>
      </c>
      <c r="L26" s="28" t="s">
        <v>9</v>
      </c>
      <c r="M26" s="16" t="s">
        <v>10</v>
      </c>
    </row>
    <row r="27" spans="1:29" x14ac:dyDescent="0.2">
      <c r="G27" s="30" t="s">
        <v>18</v>
      </c>
      <c r="H27" s="32">
        <v>13</v>
      </c>
      <c r="I27" s="25">
        <f>25-H27</f>
        <v>12</v>
      </c>
      <c r="J27" s="2">
        <v>44</v>
      </c>
      <c r="K27" s="7">
        <f>58-J27</f>
        <v>14</v>
      </c>
      <c r="L27" s="2">
        <v>7</v>
      </c>
      <c r="M27" s="7">
        <f>10-L27</f>
        <v>3</v>
      </c>
    </row>
    <row r="28" spans="1:29" x14ac:dyDescent="0.2">
      <c r="G28" s="30" t="s">
        <v>19</v>
      </c>
      <c r="H28" s="32">
        <v>13</v>
      </c>
      <c r="I28" s="25">
        <f>14-H28</f>
        <v>1</v>
      </c>
      <c r="J28" s="2">
        <v>239</v>
      </c>
      <c r="K28" s="7">
        <f>284-J28</f>
        <v>45</v>
      </c>
      <c r="L28" s="43">
        <v>1</v>
      </c>
      <c r="M28" s="44">
        <f>3-L28</f>
        <v>2</v>
      </c>
    </row>
    <row r="29" spans="1:29" x14ac:dyDescent="0.2">
      <c r="G29" s="31" t="s">
        <v>20</v>
      </c>
      <c r="H29" s="33">
        <v>0</v>
      </c>
      <c r="I29" s="26">
        <v>2</v>
      </c>
      <c r="J29" s="39">
        <v>0</v>
      </c>
      <c r="K29" s="40">
        <v>0</v>
      </c>
      <c r="L29" s="9">
        <v>8</v>
      </c>
      <c r="M29" s="10">
        <v>0</v>
      </c>
    </row>
    <row r="31" spans="1:29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spans="1:29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spans="1:29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29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29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1:29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spans="1:29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spans="1:29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x14ac:dyDescent="0.2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x14ac:dyDescent="0.2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x14ac:dyDescent="0.2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x14ac:dyDescent="0.2"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x14ac:dyDescent="0.2"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2"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x14ac:dyDescent="0.2"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x14ac:dyDescent="0.2"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x14ac:dyDescent="0.2">
      <c r="O64" s="38"/>
      <c r="P64" s="38"/>
      <c r="Q64" s="38"/>
      <c r="S64" s="38"/>
      <c r="W64" s="38"/>
      <c r="X64" s="38"/>
      <c r="AB64" s="38"/>
      <c r="AC64" s="38"/>
    </row>
    <row r="65" spans="15:29" x14ac:dyDescent="0.2">
      <c r="O65" s="38"/>
      <c r="P65" s="38"/>
      <c r="Q65" s="38"/>
      <c r="S65" s="38"/>
      <c r="W65" s="38"/>
      <c r="X65" s="38"/>
      <c r="AB65" s="38"/>
      <c r="AC65" s="38"/>
    </row>
    <row r="66" spans="15:29" x14ac:dyDescent="0.2">
      <c r="O66" s="38"/>
      <c r="P66" s="38"/>
      <c r="Q66" s="38"/>
      <c r="S66" s="38"/>
      <c r="W66" s="38"/>
      <c r="X66" s="38"/>
      <c r="AB66" s="38"/>
      <c r="AC66" s="38"/>
    </row>
    <row r="67" spans="15:29" x14ac:dyDescent="0.2">
      <c r="O67" s="38"/>
      <c r="P67" s="38"/>
      <c r="Q67" s="38"/>
      <c r="S67" s="38"/>
      <c r="W67" s="38"/>
      <c r="X67" s="38"/>
      <c r="AB67" s="38"/>
      <c r="AC67" s="38"/>
    </row>
    <row r="68" spans="15:29" x14ac:dyDescent="0.2">
      <c r="O68" s="38"/>
      <c r="P68" s="38"/>
      <c r="Q68" s="38"/>
      <c r="S68" s="38"/>
      <c r="W68" s="38"/>
      <c r="X68" s="38"/>
      <c r="AB68" s="38"/>
      <c r="AC68" s="38"/>
    </row>
    <row r="69" spans="15:29" x14ac:dyDescent="0.2">
      <c r="O69" s="38"/>
      <c r="P69" s="38"/>
      <c r="Q69" s="38"/>
      <c r="S69" s="38"/>
      <c r="W69" s="38"/>
      <c r="X69" s="38"/>
      <c r="AB69" s="38"/>
      <c r="AC69" s="38"/>
    </row>
    <row r="70" spans="15:29" x14ac:dyDescent="0.2">
      <c r="W70" s="38"/>
      <c r="X70" s="38"/>
      <c r="AB70" s="38"/>
      <c r="AC70" s="38"/>
    </row>
    <row r="71" spans="15:29" x14ac:dyDescent="0.2">
      <c r="W71" s="38"/>
      <c r="X71" s="38"/>
      <c r="AB71" s="38"/>
      <c r="AC71" s="38"/>
    </row>
    <row r="72" spans="15:29" x14ac:dyDescent="0.2">
      <c r="W72" s="38"/>
      <c r="X72" s="38"/>
      <c r="AB72" s="38"/>
      <c r="AC72" s="38"/>
    </row>
    <row r="73" spans="15:29" x14ac:dyDescent="0.2">
      <c r="W73" s="38"/>
      <c r="X73" s="38"/>
      <c r="AB73" s="38"/>
      <c r="AC73" s="38"/>
    </row>
    <row r="74" spans="15:29" x14ac:dyDescent="0.2">
      <c r="W74" s="38"/>
      <c r="X74" s="38"/>
      <c r="AB74" s="38"/>
      <c r="AC74" s="38"/>
    </row>
    <row r="75" spans="15:29" x14ac:dyDescent="0.2">
      <c r="W75" s="38"/>
      <c r="X75" s="38"/>
      <c r="AB75" s="38"/>
      <c r="AC75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5155-09E6-A14E-B3C9-D84BFA6447E4}">
  <dimension ref="A1:Q29"/>
  <sheetViews>
    <sheetView topLeftCell="A21" zoomScale="75" workbookViewId="0">
      <selection activeCell="T22" sqref="T22"/>
    </sheetView>
  </sheetViews>
  <sheetFormatPr baseColWidth="10" defaultColWidth="11" defaultRowHeight="16" x14ac:dyDescent="0.2"/>
  <sheetData>
    <row r="1" spans="1:17" x14ac:dyDescent="0.2">
      <c r="A1" s="3" t="s">
        <v>0</v>
      </c>
      <c r="B1" s="3" t="s">
        <v>1</v>
      </c>
      <c r="C1" s="5" t="s">
        <v>2</v>
      </c>
      <c r="D1" s="4" t="s">
        <v>3</v>
      </c>
      <c r="E1" s="16" t="s">
        <v>4</v>
      </c>
      <c r="G1" s="3" t="s">
        <v>0</v>
      </c>
      <c r="H1" s="3" t="s">
        <v>5</v>
      </c>
      <c r="I1" s="5" t="s">
        <v>6</v>
      </c>
      <c r="J1" s="4" t="s">
        <v>7</v>
      </c>
      <c r="K1" s="16" t="s">
        <v>8</v>
      </c>
      <c r="M1" s="3" t="s">
        <v>0</v>
      </c>
      <c r="N1" s="3" t="s">
        <v>9</v>
      </c>
      <c r="O1" s="5" t="s">
        <v>10</v>
      </c>
      <c r="P1" s="4" t="s">
        <v>11</v>
      </c>
      <c r="Q1" s="16" t="s">
        <v>12</v>
      </c>
    </row>
    <row r="2" spans="1:17" x14ac:dyDescent="0.2">
      <c r="A2" s="3" t="s">
        <v>13</v>
      </c>
      <c r="B2" s="13">
        <v>109</v>
      </c>
      <c r="C2" s="12">
        <f>186-B2</f>
        <v>77</v>
      </c>
      <c r="D2" s="47">
        <v>251</v>
      </c>
      <c r="E2" s="48">
        <f>406-D2</f>
        <v>155</v>
      </c>
      <c r="F2" s="2"/>
      <c r="G2" s="3" t="s">
        <v>13</v>
      </c>
      <c r="H2" s="13">
        <v>150</v>
      </c>
      <c r="I2" s="12">
        <f>251-H2</f>
        <v>101</v>
      </c>
      <c r="J2" s="55">
        <v>153</v>
      </c>
      <c r="K2" s="56">
        <f>177-J2</f>
        <v>24</v>
      </c>
      <c r="M2" s="3" t="s">
        <v>13</v>
      </c>
      <c r="N2" s="47">
        <v>296</v>
      </c>
      <c r="O2" s="48">
        <f>423-N2</f>
        <v>127</v>
      </c>
      <c r="P2" s="11">
        <f>142</f>
        <v>142</v>
      </c>
      <c r="Q2" s="12">
        <f>230-P2</f>
        <v>88</v>
      </c>
    </row>
    <row r="3" spans="1:17" x14ac:dyDescent="0.2">
      <c r="A3" s="6" t="s">
        <v>14</v>
      </c>
      <c r="B3" s="14">
        <v>94</v>
      </c>
      <c r="C3" s="7">
        <f>116-B3</f>
        <v>22</v>
      </c>
      <c r="D3" s="49">
        <v>97</v>
      </c>
      <c r="E3" s="50">
        <f>156-D3</f>
        <v>59</v>
      </c>
      <c r="F3" s="2"/>
      <c r="G3" s="6" t="s">
        <v>14</v>
      </c>
      <c r="H3" s="14">
        <v>109</v>
      </c>
      <c r="I3" s="7">
        <f>132-H3</f>
        <v>23</v>
      </c>
      <c r="J3" s="53">
        <v>242</v>
      </c>
      <c r="K3" s="54">
        <f>363-J3</f>
        <v>121</v>
      </c>
      <c r="M3" s="6" t="s">
        <v>14</v>
      </c>
      <c r="N3" s="53">
        <v>221</v>
      </c>
      <c r="O3" s="54">
        <f>408-N3</f>
        <v>187</v>
      </c>
      <c r="P3" s="2">
        <v>29</v>
      </c>
      <c r="Q3" s="7">
        <f>61-P3</f>
        <v>32</v>
      </c>
    </row>
    <row r="4" spans="1:17" x14ac:dyDescent="0.2">
      <c r="A4" s="6" t="s">
        <v>15</v>
      </c>
      <c r="B4" s="14">
        <v>20</v>
      </c>
      <c r="C4" s="7">
        <f>25-B4</f>
        <v>5</v>
      </c>
      <c r="D4" s="49">
        <v>119</v>
      </c>
      <c r="E4" s="50">
        <f>162-D4</f>
        <v>43</v>
      </c>
      <c r="F4" s="2"/>
      <c r="G4" s="6" t="s">
        <v>15</v>
      </c>
      <c r="H4" s="14">
        <v>105</v>
      </c>
      <c r="I4" s="7">
        <f>152-H4</f>
        <v>47</v>
      </c>
      <c r="J4" s="53">
        <v>74</v>
      </c>
      <c r="K4" s="54">
        <f>134-J4</f>
        <v>60</v>
      </c>
      <c r="M4" s="6" t="s">
        <v>15</v>
      </c>
      <c r="N4" s="53">
        <v>122</v>
      </c>
      <c r="O4" s="54">
        <f>172-N4</f>
        <v>50</v>
      </c>
      <c r="P4" s="2">
        <v>7</v>
      </c>
      <c r="Q4" s="7">
        <f>9-P4</f>
        <v>2</v>
      </c>
    </row>
    <row r="5" spans="1:17" x14ac:dyDescent="0.2">
      <c r="A5" s="6" t="s">
        <v>16</v>
      </c>
      <c r="B5" s="14">
        <v>93</v>
      </c>
      <c r="C5" s="7">
        <f>141-B5</f>
        <v>48</v>
      </c>
      <c r="D5" s="49">
        <v>115</v>
      </c>
      <c r="E5" s="50">
        <f>156-D5</f>
        <v>41</v>
      </c>
      <c r="F5" s="2"/>
      <c r="G5" s="6" t="s">
        <v>16</v>
      </c>
      <c r="H5" s="14">
        <v>69</v>
      </c>
      <c r="I5" s="7">
        <f>79-H5</f>
        <v>10</v>
      </c>
      <c r="J5" s="53">
        <v>2</v>
      </c>
      <c r="K5" s="54">
        <f>2-J5</f>
        <v>0</v>
      </c>
      <c r="M5" s="6" t="s">
        <v>16</v>
      </c>
      <c r="N5" s="53">
        <v>83</v>
      </c>
      <c r="O5" s="54">
        <f>100-N5</f>
        <v>17</v>
      </c>
      <c r="P5" s="2">
        <v>17</v>
      </c>
      <c r="Q5" s="7">
        <f>59-P5</f>
        <v>42</v>
      </c>
    </row>
    <row r="6" spans="1:17" x14ac:dyDescent="0.2">
      <c r="A6" s="6" t="s">
        <v>17</v>
      </c>
      <c r="B6" s="14">
        <v>8</v>
      </c>
      <c r="C6" s="7">
        <f>31-B6</f>
        <v>23</v>
      </c>
      <c r="D6" s="53">
        <v>27</v>
      </c>
      <c r="E6" s="54">
        <f>43-D6</f>
        <v>16</v>
      </c>
      <c r="F6" s="2"/>
      <c r="G6" s="6" t="s">
        <v>17</v>
      </c>
      <c r="H6" s="14">
        <v>1</v>
      </c>
      <c r="I6" s="7">
        <f>1-H6</f>
        <v>0</v>
      </c>
      <c r="J6" s="53">
        <v>1</v>
      </c>
      <c r="K6" s="54">
        <f>6-J6</f>
        <v>5</v>
      </c>
      <c r="M6" s="6" t="s">
        <v>17</v>
      </c>
      <c r="N6" s="53">
        <v>124</v>
      </c>
      <c r="O6" s="54">
        <f>245-N6</f>
        <v>121</v>
      </c>
      <c r="P6" s="2">
        <v>94</v>
      </c>
      <c r="Q6" s="7">
        <f>220-P6</f>
        <v>126</v>
      </c>
    </row>
    <row r="7" spans="1:17" x14ac:dyDescent="0.2">
      <c r="A7" s="6" t="s">
        <v>18</v>
      </c>
      <c r="B7" s="14">
        <v>3</v>
      </c>
      <c r="C7" s="7">
        <f>8-B7</f>
        <v>5</v>
      </c>
      <c r="D7" s="49">
        <v>2</v>
      </c>
      <c r="E7" s="50">
        <f>3-D7</f>
        <v>1</v>
      </c>
      <c r="F7" s="2"/>
      <c r="G7" s="6" t="s">
        <v>18</v>
      </c>
      <c r="H7" s="14">
        <v>3</v>
      </c>
      <c r="I7" s="7">
        <f>4-H7</f>
        <v>1</v>
      </c>
      <c r="J7" s="53">
        <v>37</v>
      </c>
      <c r="K7" s="54">
        <f>38-J7</f>
        <v>1</v>
      </c>
      <c r="M7" s="6" t="s">
        <v>18</v>
      </c>
      <c r="N7" s="53">
        <v>6</v>
      </c>
      <c r="O7" s="54">
        <f>8-N7</f>
        <v>2</v>
      </c>
      <c r="P7" s="2">
        <v>14</v>
      </c>
      <c r="Q7" s="7">
        <f>41-P7</f>
        <v>27</v>
      </c>
    </row>
    <row r="8" spans="1:17" x14ac:dyDescent="0.2">
      <c r="A8" s="6" t="s">
        <v>19</v>
      </c>
      <c r="B8" s="14">
        <v>158</v>
      </c>
      <c r="C8" s="7">
        <f>285-B8</f>
        <v>127</v>
      </c>
      <c r="D8" s="49">
        <v>18</v>
      </c>
      <c r="E8" s="50">
        <f>35-D8</f>
        <v>17</v>
      </c>
      <c r="F8" s="2"/>
      <c r="G8" s="6" t="s">
        <v>19</v>
      </c>
      <c r="H8" s="14">
        <v>88</v>
      </c>
      <c r="I8" s="7">
        <f>132-H8</f>
        <v>44</v>
      </c>
      <c r="J8" s="53">
        <v>32</v>
      </c>
      <c r="K8" s="54">
        <f>56-J8</f>
        <v>24</v>
      </c>
      <c r="M8" s="6" t="s">
        <v>19</v>
      </c>
      <c r="N8" s="49">
        <v>62</v>
      </c>
      <c r="O8" s="50">
        <f>80-N8</f>
        <v>18</v>
      </c>
      <c r="P8" s="2">
        <v>18</v>
      </c>
      <c r="Q8" s="7">
        <f>55-P8</f>
        <v>37</v>
      </c>
    </row>
    <row r="9" spans="1:17" x14ac:dyDescent="0.2">
      <c r="A9" s="8" t="s">
        <v>20</v>
      </c>
      <c r="B9" s="15">
        <v>179</v>
      </c>
      <c r="C9" s="10">
        <f>272-B9</f>
        <v>93</v>
      </c>
      <c r="D9" s="51">
        <v>111</v>
      </c>
      <c r="E9" s="52">
        <f>163-D9</f>
        <v>52</v>
      </c>
      <c r="F9" s="2"/>
      <c r="G9" s="8" t="s">
        <v>20</v>
      </c>
      <c r="H9" s="15">
        <v>30</v>
      </c>
      <c r="I9" s="10">
        <f>48-H9</f>
        <v>18</v>
      </c>
      <c r="J9" s="51">
        <v>13</v>
      </c>
      <c r="K9" s="52">
        <f>29-J9</f>
        <v>16</v>
      </c>
      <c r="M9" s="8" t="s">
        <v>20</v>
      </c>
      <c r="N9" s="51">
        <v>20</v>
      </c>
      <c r="O9" s="52">
        <f>36-N9</f>
        <v>16</v>
      </c>
      <c r="P9" s="45" t="s">
        <v>24</v>
      </c>
      <c r="Q9" s="46" t="s">
        <v>24</v>
      </c>
    </row>
    <row r="10" spans="1:17" x14ac:dyDescent="0.2">
      <c r="A10" s="2"/>
      <c r="B10" s="2"/>
      <c r="C10" s="2" t="s">
        <v>21</v>
      </c>
      <c r="D10" s="2"/>
      <c r="E10" s="2"/>
      <c r="F10" s="2"/>
      <c r="G10" s="2"/>
    </row>
    <row r="11" spans="1:17" x14ac:dyDescent="0.2">
      <c r="A11" s="3" t="s">
        <v>22</v>
      </c>
      <c r="B11" s="3" t="s">
        <v>1</v>
      </c>
      <c r="C11" s="5" t="s">
        <v>2</v>
      </c>
      <c r="D11" s="4" t="s">
        <v>3</v>
      </c>
      <c r="E11" s="16" t="s">
        <v>4</v>
      </c>
      <c r="G11" s="3" t="s">
        <v>22</v>
      </c>
      <c r="H11" s="3" t="s">
        <v>5</v>
      </c>
      <c r="I11" s="5" t="s">
        <v>6</v>
      </c>
      <c r="J11" s="4" t="s">
        <v>7</v>
      </c>
      <c r="K11" s="16" t="s">
        <v>8</v>
      </c>
      <c r="M11" s="3" t="s">
        <v>22</v>
      </c>
      <c r="N11" s="3" t="s">
        <v>9</v>
      </c>
      <c r="O11" s="5" t="s">
        <v>10</v>
      </c>
      <c r="P11" s="4" t="s">
        <v>11</v>
      </c>
      <c r="Q11" s="16" t="s">
        <v>12</v>
      </c>
    </row>
    <row r="12" spans="1:17" x14ac:dyDescent="0.2">
      <c r="A12" s="3" t="s">
        <v>13</v>
      </c>
      <c r="B12" s="47">
        <v>67</v>
      </c>
      <c r="C12" s="48">
        <f>76-B12</f>
        <v>9</v>
      </c>
      <c r="D12" s="11">
        <v>0</v>
      </c>
      <c r="E12" s="12">
        <v>3</v>
      </c>
      <c r="G12" s="3" t="s">
        <v>13</v>
      </c>
      <c r="H12" s="47">
        <v>28</v>
      </c>
      <c r="I12" s="48">
        <f>51-H12</f>
        <v>23</v>
      </c>
      <c r="J12" s="11">
        <v>280</v>
      </c>
      <c r="K12" s="12">
        <f>375-J12</f>
        <v>95</v>
      </c>
      <c r="M12" s="3" t="s">
        <v>13</v>
      </c>
      <c r="N12" s="13">
        <v>8</v>
      </c>
      <c r="O12" s="12">
        <f>13-N12</f>
        <v>5</v>
      </c>
      <c r="P12" s="47">
        <v>130</v>
      </c>
      <c r="Q12" s="48">
        <f>155-P12</f>
        <v>25</v>
      </c>
    </row>
    <row r="13" spans="1:17" x14ac:dyDescent="0.2">
      <c r="A13" s="6" t="s">
        <v>14</v>
      </c>
      <c r="B13" s="49">
        <v>11</v>
      </c>
      <c r="C13" s="50">
        <f>14-B13</f>
        <v>3</v>
      </c>
      <c r="D13" s="2">
        <v>73</v>
      </c>
      <c r="E13" s="7">
        <f>90-D13</f>
        <v>17</v>
      </c>
      <c r="F13" s="1"/>
      <c r="G13" s="6" t="s">
        <v>14</v>
      </c>
      <c r="H13" s="49">
        <v>46</v>
      </c>
      <c r="I13" s="50">
        <f>64-H13</f>
        <v>18</v>
      </c>
      <c r="J13" s="2">
        <v>51</v>
      </c>
      <c r="K13" s="7">
        <f>104-J13</f>
        <v>53</v>
      </c>
      <c r="M13" s="6" t="s">
        <v>14</v>
      </c>
      <c r="N13" s="14">
        <v>110</v>
      </c>
      <c r="O13" s="7">
        <f>123-N13</f>
        <v>13</v>
      </c>
      <c r="P13" s="53">
        <v>12</v>
      </c>
      <c r="Q13" s="54">
        <f>27-P13</f>
        <v>15</v>
      </c>
    </row>
    <row r="14" spans="1:17" x14ac:dyDescent="0.2">
      <c r="A14" s="6" t="s">
        <v>15</v>
      </c>
      <c r="B14" s="49">
        <v>43</v>
      </c>
      <c r="C14" s="50">
        <f>59-B14</f>
        <v>16</v>
      </c>
      <c r="D14" s="2">
        <v>4</v>
      </c>
      <c r="E14" s="7">
        <f>6-D14</f>
        <v>2</v>
      </c>
      <c r="F14" s="2"/>
      <c r="G14" s="6" t="s">
        <v>15</v>
      </c>
      <c r="H14" s="49">
        <v>7</v>
      </c>
      <c r="I14" s="50">
        <f>9-H14</f>
        <v>2</v>
      </c>
      <c r="J14" s="2">
        <v>9</v>
      </c>
      <c r="K14" s="7">
        <f>12-J14</f>
        <v>3</v>
      </c>
      <c r="M14" s="6" t="s">
        <v>15</v>
      </c>
      <c r="N14" s="19">
        <v>64</v>
      </c>
      <c r="O14" s="20">
        <f>91-N14</f>
        <v>27</v>
      </c>
      <c r="P14" s="53">
        <v>36</v>
      </c>
      <c r="Q14" s="54">
        <f>52-P14</f>
        <v>16</v>
      </c>
    </row>
    <row r="15" spans="1:17" x14ac:dyDescent="0.2">
      <c r="A15" s="6" t="s">
        <v>16</v>
      </c>
      <c r="B15" s="49">
        <v>2</v>
      </c>
      <c r="C15" s="50">
        <f>2-B15</f>
        <v>0</v>
      </c>
      <c r="D15" s="2">
        <v>2</v>
      </c>
      <c r="E15" s="7">
        <f>6-D15</f>
        <v>4</v>
      </c>
      <c r="F15" s="2"/>
      <c r="G15" s="6" t="s">
        <v>16</v>
      </c>
      <c r="H15" s="49">
        <v>18</v>
      </c>
      <c r="I15" s="50">
        <f>20-H15</f>
        <v>2</v>
      </c>
      <c r="J15" s="2">
        <v>2</v>
      </c>
      <c r="K15" s="7">
        <f>4-J15</f>
        <v>2</v>
      </c>
      <c r="M15" s="6" t="s">
        <v>16</v>
      </c>
      <c r="N15" s="14">
        <v>6</v>
      </c>
      <c r="O15" s="7">
        <f>10-N15</f>
        <v>4</v>
      </c>
      <c r="P15" s="53">
        <v>84</v>
      </c>
      <c r="Q15" s="54">
        <f>103-P15</f>
        <v>19</v>
      </c>
    </row>
    <row r="16" spans="1:17" ht="15" customHeight="1" x14ac:dyDescent="0.2">
      <c r="A16" s="6" t="s">
        <v>17</v>
      </c>
      <c r="B16" s="53">
        <v>78</v>
      </c>
      <c r="C16" s="54">
        <f>78-B16</f>
        <v>0</v>
      </c>
      <c r="D16" s="17" t="s">
        <v>24</v>
      </c>
      <c r="E16" s="18" t="s">
        <v>24</v>
      </c>
      <c r="F16" s="2"/>
      <c r="G16" s="6" t="s">
        <v>17</v>
      </c>
      <c r="H16" s="53">
        <v>15</v>
      </c>
      <c r="I16" s="54">
        <f>21-H16</f>
        <v>6</v>
      </c>
      <c r="J16" s="2">
        <v>117</v>
      </c>
      <c r="K16" s="7">
        <f>128-J16</f>
        <v>11</v>
      </c>
      <c r="M16" s="6" t="s">
        <v>17</v>
      </c>
      <c r="N16" s="14">
        <v>21</v>
      </c>
      <c r="O16" s="7">
        <f>26-N16</f>
        <v>5</v>
      </c>
      <c r="P16" s="53">
        <v>4</v>
      </c>
      <c r="Q16" s="54">
        <f>4-P16</f>
        <v>0</v>
      </c>
    </row>
    <row r="17" spans="1:17" x14ac:dyDescent="0.2">
      <c r="A17" s="6" t="s">
        <v>18</v>
      </c>
      <c r="B17" s="17" t="s">
        <v>24</v>
      </c>
      <c r="C17" s="18" t="s">
        <v>24</v>
      </c>
      <c r="D17" s="2">
        <v>20</v>
      </c>
      <c r="E17" s="7">
        <f>20-D17</f>
        <v>0</v>
      </c>
      <c r="F17" s="2"/>
      <c r="G17" s="6" t="s">
        <v>18</v>
      </c>
      <c r="H17" s="49">
        <v>16</v>
      </c>
      <c r="I17" s="50">
        <f>22-H17</f>
        <v>6</v>
      </c>
      <c r="J17" s="2">
        <v>149</v>
      </c>
      <c r="K17" s="7">
        <f>250-J17</f>
        <v>101</v>
      </c>
      <c r="M17" s="6" t="s">
        <v>18</v>
      </c>
      <c r="N17" s="14">
        <v>2</v>
      </c>
      <c r="O17" s="7">
        <f>9-N17</f>
        <v>7</v>
      </c>
      <c r="P17" s="53">
        <v>2</v>
      </c>
      <c r="Q17" s="54">
        <f>5-P17</f>
        <v>3</v>
      </c>
    </row>
    <row r="18" spans="1:17" x14ac:dyDescent="0.2">
      <c r="A18" s="6" t="s">
        <v>19</v>
      </c>
      <c r="B18" s="49">
        <v>12</v>
      </c>
      <c r="C18" s="50">
        <f>13-B18</f>
        <v>1</v>
      </c>
      <c r="D18" s="2">
        <v>10</v>
      </c>
      <c r="E18" s="7">
        <f>10-D18</f>
        <v>0</v>
      </c>
      <c r="F18" s="2"/>
      <c r="G18" s="6" t="s">
        <v>19</v>
      </c>
      <c r="H18" s="49">
        <v>26</v>
      </c>
      <c r="I18" s="50">
        <f>35-H18</f>
        <v>9</v>
      </c>
      <c r="J18" s="2">
        <v>245</v>
      </c>
      <c r="K18" s="7">
        <f>341-J18</f>
        <v>96</v>
      </c>
      <c r="M18" s="6" t="s">
        <v>19</v>
      </c>
      <c r="N18" s="14">
        <v>31</v>
      </c>
      <c r="O18" s="7">
        <f>51-N18</f>
        <v>20</v>
      </c>
      <c r="P18" s="49">
        <v>133</v>
      </c>
      <c r="Q18" s="50">
        <f>168-P18</f>
        <v>35</v>
      </c>
    </row>
    <row r="19" spans="1:17" x14ac:dyDescent="0.2">
      <c r="A19" s="8" t="s">
        <v>20</v>
      </c>
      <c r="B19" s="51">
        <v>3</v>
      </c>
      <c r="C19" s="52">
        <f>5-B19</f>
        <v>2</v>
      </c>
      <c r="D19" s="9">
        <v>1</v>
      </c>
      <c r="E19" s="10">
        <f>2-D19</f>
        <v>1</v>
      </c>
      <c r="F19" s="2"/>
      <c r="G19" s="8" t="s">
        <v>20</v>
      </c>
      <c r="H19" s="51">
        <v>29</v>
      </c>
      <c r="I19" s="52">
        <f>41-H19</f>
        <v>12</v>
      </c>
      <c r="J19" s="9">
        <v>35</v>
      </c>
      <c r="K19" s="10">
        <f>45-J19</f>
        <v>10</v>
      </c>
      <c r="M19" s="8" t="s">
        <v>20</v>
      </c>
      <c r="N19" s="15">
        <v>4</v>
      </c>
      <c r="O19" s="10">
        <f>7-N19</f>
        <v>3</v>
      </c>
      <c r="P19" s="51">
        <v>132</v>
      </c>
      <c r="Q19" s="52">
        <f>260-P19</f>
        <v>128</v>
      </c>
    </row>
    <row r="20" spans="1:17" x14ac:dyDescent="0.2">
      <c r="A20" s="1"/>
      <c r="B20" s="2"/>
      <c r="C20" s="2"/>
      <c r="D20" s="2"/>
      <c r="E20" s="2"/>
      <c r="F20" s="2"/>
      <c r="G20" s="2"/>
    </row>
    <row r="21" spans="1:17" x14ac:dyDescent="0.2">
      <c r="A21" s="1" t="s">
        <v>25</v>
      </c>
      <c r="B21" s="2"/>
      <c r="C21" s="2"/>
      <c r="D21" s="2"/>
      <c r="E21" s="2"/>
      <c r="F21" s="2"/>
      <c r="G21" s="29" t="s">
        <v>0</v>
      </c>
      <c r="H21" s="27" t="s">
        <v>1</v>
      </c>
      <c r="I21" s="16" t="s">
        <v>2</v>
      </c>
      <c r="J21" s="27" t="s">
        <v>5</v>
      </c>
      <c r="K21" s="16" t="s">
        <v>6</v>
      </c>
      <c r="L21" s="28" t="s">
        <v>9</v>
      </c>
      <c r="M21" s="16" t="s">
        <v>10</v>
      </c>
    </row>
    <row r="22" spans="1:17" x14ac:dyDescent="0.2">
      <c r="A22" s="1" t="s">
        <v>27</v>
      </c>
      <c r="G22" s="30" t="s">
        <v>18</v>
      </c>
      <c r="H22" s="32">
        <v>10</v>
      </c>
      <c r="I22" s="25">
        <f>14-H22</f>
        <v>4</v>
      </c>
      <c r="J22" s="17" t="s">
        <v>24</v>
      </c>
      <c r="K22" s="18" t="s">
        <v>24</v>
      </c>
      <c r="L22" s="2">
        <v>26</v>
      </c>
      <c r="M22" s="7">
        <f>33-L22</f>
        <v>7</v>
      </c>
    </row>
    <row r="23" spans="1:17" x14ac:dyDescent="0.2">
      <c r="G23" s="30" t="s">
        <v>19</v>
      </c>
      <c r="H23" s="32">
        <v>15</v>
      </c>
      <c r="I23" s="25">
        <f>16-H23</f>
        <v>1</v>
      </c>
      <c r="J23" s="32">
        <v>13</v>
      </c>
      <c r="K23" s="25">
        <f>14-J23</f>
        <v>1</v>
      </c>
      <c r="L23" s="17" t="s">
        <v>24</v>
      </c>
      <c r="M23" s="18" t="s">
        <v>24</v>
      </c>
    </row>
    <row r="24" spans="1:17" x14ac:dyDescent="0.2">
      <c r="G24" s="31" t="s">
        <v>20</v>
      </c>
      <c r="H24" s="33">
        <f>146</f>
        <v>146</v>
      </c>
      <c r="I24" s="26">
        <f>252-H24</f>
        <v>106</v>
      </c>
      <c r="J24" s="33">
        <v>84</v>
      </c>
      <c r="K24" s="26">
        <f>103-J24</f>
        <v>19</v>
      </c>
      <c r="L24" s="9">
        <v>276</v>
      </c>
      <c r="M24" s="10">
        <f>497-L24</f>
        <v>221</v>
      </c>
    </row>
    <row r="26" spans="1:17" x14ac:dyDescent="0.2">
      <c r="G26" s="29" t="s">
        <v>22</v>
      </c>
      <c r="H26" s="27" t="s">
        <v>1</v>
      </c>
      <c r="I26" s="16" t="s">
        <v>2</v>
      </c>
      <c r="J26" s="27" t="s">
        <v>5</v>
      </c>
      <c r="K26" s="16" t="s">
        <v>6</v>
      </c>
      <c r="L26" s="28" t="s">
        <v>9</v>
      </c>
      <c r="M26" s="16" t="s">
        <v>10</v>
      </c>
    </row>
    <row r="27" spans="1:17" x14ac:dyDescent="0.2">
      <c r="G27" s="30" t="s">
        <v>18</v>
      </c>
      <c r="H27" s="32">
        <v>4</v>
      </c>
      <c r="I27" s="25">
        <f>11-H27</f>
        <v>7</v>
      </c>
      <c r="J27" s="2">
        <v>18</v>
      </c>
      <c r="K27" s="7">
        <f>20-J27</f>
        <v>2</v>
      </c>
      <c r="L27" s="2">
        <v>16</v>
      </c>
      <c r="M27" s="7">
        <f>31-L27</f>
        <v>15</v>
      </c>
    </row>
    <row r="28" spans="1:17" x14ac:dyDescent="0.2">
      <c r="G28" s="30" t="s">
        <v>19</v>
      </c>
      <c r="H28" s="32">
        <v>224</v>
      </c>
      <c r="I28" s="25">
        <f>246-H28</f>
        <v>22</v>
      </c>
      <c r="J28" s="2">
        <v>165</v>
      </c>
      <c r="K28" s="7">
        <f>193-J28</f>
        <v>28</v>
      </c>
      <c r="L28" s="17" t="s">
        <v>24</v>
      </c>
      <c r="M28" s="18" t="s">
        <v>24</v>
      </c>
    </row>
    <row r="29" spans="1:17" x14ac:dyDescent="0.2">
      <c r="G29" s="31" t="s">
        <v>20</v>
      </c>
      <c r="H29" s="33">
        <v>20</v>
      </c>
      <c r="I29" s="26">
        <f>20-H29</f>
        <v>0</v>
      </c>
      <c r="J29" s="9">
        <v>24</v>
      </c>
      <c r="K29" s="10">
        <f>39-J29</f>
        <v>15</v>
      </c>
      <c r="L29" s="58" t="s">
        <v>24</v>
      </c>
      <c r="M29" s="4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918A-ABB7-7E4D-860C-9A2B8E784B37}">
  <dimension ref="A1:H229"/>
  <sheetViews>
    <sheetView zoomScale="92" zoomScaleNormal="63" workbookViewId="0">
      <selection activeCell="I2" sqref="I2"/>
    </sheetView>
  </sheetViews>
  <sheetFormatPr baseColWidth="10" defaultRowHeight="16" x14ac:dyDescent="0.2"/>
  <cols>
    <col min="1" max="1" width="14.5" customWidth="1"/>
    <col min="2" max="2" width="8" customWidth="1"/>
    <col min="3" max="3" width="16.1640625" style="67" customWidth="1"/>
    <col min="4" max="4" width="21.6640625" style="67" customWidth="1"/>
    <col min="5" max="5" width="18.1640625" style="67" customWidth="1"/>
    <col min="6" max="6" width="26.1640625" style="67" customWidth="1"/>
    <col min="7" max="7" width="22.83203125" style="67" customWidth="1"/>
    <col min="8" max="8" width="28.5" style="67" customWidth="1"/>
  </cols>
  <sheetData>
    <row r="1" spans="1:8" ht="79" customHeight="1" x14ac:dyDescent="0.2">
      <c r="A1" s="65" t="s">
        <v>52</v>
      </c>
      <c r="B1" t="s">
        <v>53</v>
      </c>
      <c r="C1" s="67" t="s">
        <v>49</v>
      </c>
      <c r="D1" s="66" t="s">
        <v>50</v>
      </c>
      <c r="E1" s="66" t="s">
        <v>51</v>
      </c>
      <c r="F1" s="66" t="s">
        <v>56</v>
      </c>
      <c r="G1" s="66" t="s">
        <v>58</v>
      </c>
      <c r="H1" s="66" t="s">
        <v>59</v>
      </c>
    </row>
    <row r="2" spans="1:8" x14ac:dyDescent="0.2">
      <c r="A2">
        <v>1</v>
      </c>
      <c r="B2" t="s">
        <v>54</v>
      </c>
      <c r="C2" s="68" t="s">
        <v>13</v>
      </c>
      <c r="D2" s="68" t="s">
        <v>55</v>
      </c>
      <c r="E2" s="68" t="s">
        <v>0</v>
      </c>
      <c r="F2" s="67">
        <v>1273.2365673542145</v>
      </c>
      <c r="G2" s="67">
        <v>222.81639928698752</v>
      </c>
      <c r="H2" s="67">
        <v>3469.5696460402341</v>
      </c>
    </row>
    <row r="3" spans="1:8" x14ac:dyDescent="0.2">
      <c r="A3">
        <v>1</v>
      </c>
      <c r="B3" t="s">
        <v>54</v>
      </c>
      <c r="C3" s="68" t="s">
        <v>13</v>
      </c>
      <c r="D3" s="69" t="s">
        <v>34</v>
      </c>
      <c r="E3" s="68" t="s">
        <v>0</v>
      </c>
      <c r="F3" s="67">
        <v>976.14803497156436</v>
      </c>
      <c r="G3" s="67">
        <v>0</v>
      </c>
      <c r="H3" s="67">
        <v>816.99346405228755</v>
      </c>
    </row>
    <row r="4" spans="1:8" x14ac:dyDescent="0.2">
      <c r="A4">
        <v>1</v>
      </c>
      <c r="B4" t="s">
        <v>54</v>
      </c>
      <c r="C4" s="68" t="s">
        <v>13</v>
      </c>
      <c r="D4" s="69" t="s">
        <v>55</v>
      </c>
      <c r="E4" s="68" t="s">
        <v>0</v>
      </c>
      <c r="F4" s="67">
        <v>1464.2220524573465</v>
      </c>
      <c r="G4" s="67">
        <v>127.32365673542144</v>
      </c>
      <c r="H4" s="67">
        <v>7989.559460147696</v>
      </c>
    </row>
    <row r="5" spans="1:8" x14ac:dyDescent="0.2">
      <c r="A5">
        <v>1</v>
      </c>
      <c r="B5" t="s">
        <v>54</v>
      </c>
      <c r="C5" s="68" t="s">
        <v>13</v>
      </c>
      <c r="D5" s="69" t="s">
        <v>34</v>
      </c>
      <c r="E5" s="68" t="s">
        <v>0</v>
      </c>
      <c r="F5" s="67">
        <v>1241.4056531703591</v>
      </c>
      <c r="G5" s="67">
        <v>10.610304727951787</v>
      </c>
      <c r="H5" s="67">
        <v>1644.597232832527</v>
      </c>
    </row>
    <row r="6" spans="1:8" x14ac:dyDescent="0.2">
      <c r="A6">
        <v>1</v>
      </c>
      <c r="B6" t="s">
        <v>54</v>
      </c>
      <c r="C6" s="69" t="s">
        <v>14</v>
      </c>
      <c r="D6" s="68" t="s">
        <v>55</v>
      </c>
      <c r="E6" s="68" t="s">
        <v>0</v>
      </c>
      <c r="F6" s="67">
        <v>2259.9949070537305</v>
      </c>
      <c r="G6" s="67">
        <v>509.29462694168575</v>
      </c>
      <c r="H6" s="67">
        <v>2992.1059332824038</v>
      </c>
    </row>
    <row r="7" spans="1:8" x14ac:dyDescent="0.2">
      <c r="A7">
        <v>1</v>
      </c>
      <c r="B7" t="s">
        <v>54</v>
      </c>
      <c r="C7" s="69" t="s">
        <v>14</v>
      </c>
      <c r="D7" s="69" t="s">
        <v>34</v>
      </c>
      <c r="E7" s="68" t="s">
        <v>0</v>
      </c>
      <c r="F7" s="67">
        <v>1029.1995586113233</v>
      </c>
      <c r="G7" s="67">
        <v>10.610304727951787</v>
      </c>
      <c r="H7" s="67">
        <v>233.4267040149393</v>
      </c>
    </row>
    <row r="8" spans="1:8" x14ac:dyDescent="0.2">
      <c r="A8">
        <v>1</v>
      </c>
      <c r="B8" t="s">
        <v>54</v>
      </c>
      <c r="C8" s="69" t="s">
        <v>14</v>
      </c>
      <c r="D8" s="69" t="s">
        <v>55</v>
      </c>
      <c r="E8" s="68" t="s">
        <v>0</v>
      </c>
      <c r="F8" s="67">
        <v>1145.9129106187929</v>
      </c>
      <c r="G8" s="67">
        <v>1305.0674815380698</v>
      </c>
      <c r="H8" s="67">
        <v>3087.59867583397</v>
      </c>
    </row>
    <row r="9" spans="1:8" x14ac:dyDescent="0.2">
      <c r="A9">
        <v>1</v>
      </c>
      <c r="B9" t="s">
        <v>54</v>
      </c>
      <c r="C9" s="69" t="s">
        <v>14</v>
      </c>
      <c r="D9" s="69" t="s">
        <v>34</v>
      </c>
      <c r="E9" s="68" t="s">
        <v>0</v>
      </c>
      <c r="F9" s="67">
        <v>1018.5892538833715</v>
      </c>
      <c r="G9" s="67">
        <v>530.51523639758932</v>
      </c>
      <c r="H9" s="67">
        <v>626.00797894915547</v>
      </c>
    </row>
    <row r="10" spans="1:8" x14ac:dyDescent="0.2">
      <c r="A10">
        <v>1</v>
      </c>
      <c r="B10" t="s">
        <v>54</v>
      </c>
      <c r="C10" s="69" t="s">
        <v>15</v>
      </c>
      <c r="D10" s="68" t="s">
        <v>55</v>
      </c>
      <c r="E10" s="68" t="s">
        <v>0</v>
      </c>
      <c r="F10" s="67">
        <v>1368.7293099057806</v>
      </c>
      <c r="G10" s="67">
        <v>159.15457091927681</v>
      </c>
      <c r="H10" s="67">
        <v>636.61828367710723</v>
      </c>
    </row>
    <row r="11" spans="1:8" x14ac:dyDescent="0.2">
      <c r="A11">
        <v>1</v>
      </c>
      <c r="B11" t="s">
        <v>54</v>
      </c>
      <c r="C11" s="69" t="s">
        <v>15</v>
      </c>
      <c r="D11" s="69" t="s">
        <v>34</v>
      </c>
      <c r="E11" s="68" t="s">
        <v>0</v>
      </c>
      <c r="F11" s="67">
        <v>1061.0304727951786</v>
      </c>
      <c r="G11" s="67">
        <v>159.15457091927681</v>
      </c>
      <c r="H11" s="67">
        <v>53.051523639758933</v>
      </c>
    </row>
    <row r="12" spans="1:8" x14ac:dyDescent="0.2">
      <c r="A12">
        <v>1</v>
      </c>
      <c r="B12" t="s">
        <v>54</v>
      </c>
      <c r="C12" s="69" t="s">
        <v>15</v>
      </c>
      <c r="D12" s="69" t="s">
        <v>55</v>
      </c>
      <c r="E12" s="68" t="s">
        <v>0</v>
      </c>
      <c r="F12" s="67">
        <v>2705.6277056277058</v>
      </c>
      <c r="G12" s="67">
        <v>0</v>
      </c>
      <c r="H12" s="67">
        <v>3787.878787878788</v>
      </c>
    </row>
    <row r="13" spans="1:8" x14ac:dyDescent="0.2">
      <c r="A13">
        <v>1</v>
      </c>
      <c r="B13" t="s">
        <v>54</v>
      </c>
      <c r="C13" s="69" t="s">
        <v>15</v>
      </c>
      <c r="D13" s="69" t="s">
        <v>34</v>
      </c>
      <c r="E13" s="68" t="s">
        <v>0</v>
      </c>
      <c r="F13" s="67">
        <v>2164.5021645021648</v>
      </c>
      <c r="G13" s="67">
        <v>0</v>
      </c>
      <c r="H13" s="67">
        <v>456.24310330192685</v>
      </c>
    </row>
    <row r="14" spans="1:8" x14ac:dyDescent="0.2">
      <c r="A14">
        <v>1</v>
      </c>
      <c r="B14" t="s">
        <v>54</v>
      </c>
      <c r="C14" s="69" t="s">
        <v>16</v>
      </c>
      <c r="D14" s="68" t="s">
        <v>55</v>
      </c>
      <c r="E14" s="68" t="s">
        <v>0</v>
      </c>
      <c r="F14" s="67">
        <v>2037.178507766743</v>
      </c>
      <c r="G14" s="67">
        <v>95.492742551566081</v>
      </c>
      <c r="H14" s="67">
        <v>2960.2750190985485</v>
      </c>
    </row>
    <row r="15" spans="1:8" x14ac:dyDescent="0.2">
      <c r="A15">
        <v>1</v>
      </c>
      <c r="B15" t="s">
        <v>54</v>
      </c>
      <c r="C15" s="69" t="s">
        <v>16</v>
      </c>
      <c r="D15" s="69" t="s">
        <v>34</v>
      </c>
      <c r="E15" s="68" t="s">
        <v>0</v>
      </c>
      <c r="F15" s="67">
        <v>1474.8323571852984</v>
      </c>
      <c r="G15" s="67">
        <v>0</v>
      </c>
      <c r="H15" s="67">
        <v>509.29462694168575</v>
      </c>
    </row>
    <row r="16" spans="1:8" x14ac:dyDescent="0.2">
      <c r="A16">
        <v>1</v>
      </c>
      <c r="B16" t="s">
        <v>54</v>
      </c>
      <c r="C16" s="69" t="s">
        <v>16</v>
      </c>
      <c r="D16" s="69" t="s">
        <v>55</v>
      </c>
      <c r="E16" s="68" t="s">
        <v>0</v>
      </c>
      <c r="F16" s="67">
        <v>2992.1059332824038</v>
      </c>
      <c r="G16" s="67">
        <v>477.46371275783042</v>
      </c>
      <c r="H16" s="67">
        <v>3660.5551311433665</v>
      </c>
    </row>
    <row r="17" spans="1:8" x14ac:dyDescent="0.2">
      <c r="A17">
        <v>1</v>
      </c>
      <c r="B17" t="s">
        <v>54</v>
      </c>
      <c r="C17" s="69" t="s">
        <v>16</v>
      </c>
      <c r="D17" s="69" t="s">
        <v>34</v>
      </c>
      <c r="E17" s="68" t="s">
        <v>0</v>
      </c>
      <c r="F17" s="67">
        <v>1209.5747389865037</v>
      </c>
      <c r="G17" s="67">
        <v>84.882437823614296</v>
      </c>
      <c r="H17" s="67">
        <v>435.02249384602328</v>
      </c>
    </row>
    <row r="18" spans="1:8" x14ac:dyDescent="0.2">
      <c r="A18">
        <v>1</v>
      </c>
      <c r="B18" t="s">
        <v>54</v>
      </c>
      <c r="C18" s="69" t="s">
        <v>17</v>
      </c>
      <c r="D18" s="68" t="s">
        <v>55</v>
      </c>
      <c r="E18" s="68" t="s">
        <v>0</v>
      </c>
      <c r="F18" s="67">
        <v>3405.9078176725238</v>
      </c>
      <c r="G18" s="67">
        <v>859.43468296409469</v>
      </c>
      <c r="H18" s="67">
        <v>254.64731347084287</v>
      </c>
    </row>
    <row r="19" spans="1:8" x14ac:dyDescent="0.2">
      <c r="A19">
        <v>1</v>
      </c>
      <c r="B19" t="s">
        <v>54</v>
      </c>
      <c r="C19" s="69" t="s">
        <v>17</v>
      </c>
      <c r="D19" s="69" t="s">
        <v>34</v>
      </c>
      <c r="E19" s="68" t="s">
        <v>0</v>
      </c>
      <c r="F19" s="67">
        <v>1485.4426619132503</v>
      </c>
      <c r="G19" s="67">
        <v>212.20609455903573</v>
      </c>
      <c r="H19" s="67">
        <v>244.03700874289109</v>
      </c>
    </row>
    <row r="20" spans="1:8" x14ac:dyDescent="0.2">
      <c r="A20">
        <v>1</v>
      </c>
      <c r="B20" t="s">
        <v>54</v>
      </c>
      <c r="C20" s="69" t="s">
        <v>17</v>
      </c>
      <c r="D20" s="69" t="s">
        <v>55</v>
      </c>
      <c r="E20" s="68" t="s">
        <v>0</v>
      </c>
      <c r="F20" s="67">
        <v>1559.7147950089127</v>
      </c>
      <c r="G20" s="67">
        <v>350.14005602240894</v>
      </c>
      <c r="H20" s="67">
        <v>859.43468296409469</v>
      </c>
    </row>
    <row r="21" spans="1:8" x14ac:dyDescent="0.2">
      <c r="A21">
        <v>1</v>
      </c>
      <c r="B21" t="s">
        <v>54</v>
      </c>
      <c r="C21" s="69" t="s">
        <v>17</v>
      </c>
      <c r="D21" s="69" t="s">
        <v>34</v>
      </c>
      <c r="E21" s="68" t="s">
        <v>0</v>
      </c>
      <c r="F21" s="67">
        <v>1039.8098633392751</v>
      </c>
      <c r="G21" s="67">
        <v>63.661828367710719</v>
      </c>
      <c r="H21" s="67">
        <v>169.76487564722859</v>
      </c>
    </row>
    <row r="22" spans="1:8" x14ac:dyDescent="0.2">
      <c r="A22">
        <v>1</v>
      </c>
      <c r="B22" t="s">
        <v>54</v>
      </c>
      <c r="C22" s="69" t="s">
        <v>18</v>
      </c>
      <c r="D22" s="68" t="s">
        <v>55</v>
      </c>
      <c r="E22" s="68" t="s">
        <v>0</v>
      </c>
      <c r="F22" s="67">
        <v>477.46371275783042</v>
      </c>
      <c r="G22" s="67">
        <v>445.63279857397504</v>
      </c>
      <c r="H22" s="67">
        <v>95.492742551566081</v>
      </c>
    </row>
    <row r="23" spans="1:8" x14ac:dyDescent="0.2">
      <c r="A23">
        <v>1</v>
      </c>
      <c r="B23" t="s">
        <v>54</v>
      </c>
      <c r="C23" s="69" t="s">
        <v>18</v>
      </c>
      <c r="D23" s="69" t="s">
        <v>34</v>
      </c>
      <c r="E23" s="68" t="s">
        <v>0</v>
      </c>
      <c r="F23" s="67">
        <v>413.80188439011971</v>
      </c>
      <c r="G23" s="67">
        <v>10.610304727951787</v>
      </c>
      <c r="H23" s="67">
        <v>53.051523639758933</v>
      </c>
    </row>
    <row r="24" spans="1:8" x14ac:dyDescent="0.2">
      <c r="A24">
        <v>1</v>
      </c>
      <c r="B24" t="s">
        <v>54</v>
      </c>
      <c r="C24" s="69" t="s">
        <v>18</v>
      </c>
      <c r="D24" s="69" t="s">
        <v>55</v>
      </c>
      <c r="E24" s="68" t="s">
        <v>0</v>
      </c>
      <c r="F24" s="67" t="s">
        <v>24</v>
      </c>
      <c r="G24" s="67">
        <v>477.46371275783042</v>
      </c>
      <c r="H24" s="67">
        <v>63.661828367710719</v>
      </c>
    </row>
    <row r="25" spans="1:8" x14ac:dyDescent="0.2">
      <c r="A25">
        <v>1</v>
      </c>
      <c r="B25" t="s">
        <v>54</v>
      </c>
      <c r="C25" s="69" t="s">
        <v>18</v>
      </c>
      <c r="D25" s="69" t="s">
        <v>34</v>
      </c>
      <c r="E25" s="68" t="s">
        <v>0</v>
      </c>
      <c r="F25" s="67" t="s">
        <v>24</v>
      </c>
      <c r="G25" s="67">
        <v>0</v>
      </c>
      <c r="H25" s="67">
        <v>10.610304727951787</v>
      </c>
    </row>
    <row r="26" spans="1:8" x14ac:dyDescent="0.2">
      <c r="A26">
        <v>1</v>
      </c>
      <c r="B26" t="s">
        <v>54</v>
      </c>
      <c r="C26" s="69" t="s">
        <v>19</v>
      </c>
      <c r="D26" s="68" t="s">
        <v>55</v>
      </c>
      <c r="E26" s="68" t="s">
        <v>0</v>
      </c>
      <c r="F26" s="67">
        <v>1496.0529666412019</v>
      </c>
      <c r="G26" s="67">
        <v>763.94194041252865</v>
      </c>
      <c r="H26" s="67">
        <v>5029.2844410491471</v>
      </c>
    </row>
    <row r="27" spans="1:8" x14ac:dyDescent="0.2">
      <c r="A27">
        <v>1</v>
      </c>
      <c r="B27" t="s">
        <v>54</v>
      </c>
      <c r="C27" s="69" t="s">
        <v>19</v>
      </c>
      <c r="D27" s="69" t="s">
        <v>34</v>
      </c>
      <c r="E27" s="68" t="s">
        <v>0</v>
      </c>
      <c r="F27" s="67">
        <v>657.83889313301074</v>
      </c>
      <c r="G27" s="67">
        <v>42.441218911807148</v>
      </c>
      <c r="H27" s="67">
        <v>1347.5087004498769</v>
      </c>
    </row>
    <row r="28" spans="1:8" x14ac:dyDescent="0.2">
      <c r="A28">
        <v>1</v>
      </c>
      <c r="B28" t="s">
        <v>54</v>
      </c>
      <c r="C28" s="69" t="s">
        <v>19</v>
      </c>
      <c r="D28" s="69" t="s">
        <v>55</v>
      </c>
      <c r="E28" s="68" t="s">
        <v>0</v>
      </c>
      <c r="F28" s="67">
        <v>1336.8983957219252</v>
      </c>
      <c r="G28" s="67">
        <v>2832.9513623631269</v>
      </c>
      <c r="H28" s="67">
        <v>572.95645530939646</v>
      </c>
    </row>
    <row r="29" spans="1:8" x14ac:dyDescent="0.2">
      <c r="A29">
        <v>1</v>
      </c>
      <c r="B29" t="s">
        <v>54</v>
      </c>
      <c r="C29" s="69" t="s">
        <v>19</v>
      </c>
      <c r="D29" s="69" t="s">
        <v>34</v>
      </c>
      <c r="E29" s="68" t="s">
        <v>0</v>
      </c>
      <c r="F29" s="67">
        <v>1018.5892538833715</v>
      </c>
      <c r="G29" s="67">
        <v>190.98548510313216</v>
      </c>
      <c r="H29" s="67">
        <v>180.37518037518038</v>
      </c>
    </row>
    <row r="30" spans="1:8" x14ac:dyDescent="0.2">
      <c r="A30">
        <v>1</v>
      </c>
      <c r="B30" t="s">
        <v>54</v>
      </c>
      <c r="C30" s="70" t="s">
        <v>20</v>
      </c>
      <c r="D30" s="68" t="s">
        <v>55</v>
      </c>
      <c r="E30" s="68" t="s">
        <v>0</v>
      </c>
      <c r="F30" s="67">
        <v>1973.5166793990325</v>
      </c>
      <c r="G30" s="67">
        <v>0</v>
      </c>
      <c r="H30" s="67">
        <v>5697.7336389101092</v>
      </c>
    </row>
    <row r="31" spans="1:8" x14ac:dyDescent="0.2">
      <c r="A31">
        <v>1</v>
      </c>
      <c r="B31" t="s">
        <v>54</v>
      </c>
      <c r="C31" s="70" t="s">
        <v>20</v>
      </c>
      <c r="D31" s="69" t="s">
        <v>34</v>
      </c>
      <c r="E31" s="68" t="s">
        <v>0</v>
      </c>
      <c r="F31" s="67">
        <v>965.5377302436126</v>
      </c>
      <c r="G31" s="67">
        <v>74.272133095662511</v>
      </c>
      <c r="H31" s="67">
        <v>986.75833969951623</v>
      </c>
    </row>
    <row r="32" spans="1:8" x14ac:dyDescent="0.2">
      <c r="A32">
        <v>1</v>
      </c>
      <c r="B32" t="s">
        <v>54</v>
      </c>
      <c r="C32" s="70" t="s">
        <v>20</v>
      </c>
      <c r="D32" s="69" t="s">
        <v>55</v>
      </c>
      <c r="E32" s="68" t="s">
        <v>0</v>
      </c>
      <c r="F32" s="67">
        <v>2164.5021645021648</v>
      </c>
      <c r="G32" s="67">
        <v>159.15457091927681</v>
      </c>
      <c r="H32" s="67">
        <v>3533.2314744079449</v>
      </c>
    </row>
    <row r="33" spans="1:8" x14ac:dyDescent="0.2">
      <c r="A33">
        <v>1</v>
      </c>
      <c r="B33" t="s">
        <v>54</v>
      </c>
      <c r="C33" s="70" t="s">
        <v>20</v>
      </c>
      <c r="D33" s="69" t="s">
        <v>34</v>
      </c>
      <c r="E33" s="68" t="s">
        <v>0</v>
      </c>
      <c r="F33" s="67">
        <v>1039.8098633392751</v>
      </c>
      <c r="G33" s="67">
        <v>21.220609455903574</v>
      </c>
      <c r="H33" s="67">
        <v>551.73584585349295</v>
      </c>
    </row>
    <row r="34" spans="1:8" x14ac:dyDescent="0.2">
      <c r="A34">
        <v>1</v>
      </c>
      <c r="B34" t="s">
        <v>54</v>
      </c>
      <c r="C34" s="68" t="s">
        <v>13</v>
      </c>
      <c r="D34" s="68" t="s">
        <v>55</v>
      </c>
      <c r="E34" s="69" t="s">
        <v>22</v>
      </c>
      <c r="F34" s="67">
        <v>3310.4150751209577</v>
      </c>
      <c r="G34" s="67">
        <v>222.81639928698752</v>
      </c>
      <c r="H34" s="67">
        <v>2132.6712503183094</v>
      </c>
    </row>
    <row r="35" spans="1:8" x14ac:dyDescent="0.2">
      <c r="A35">
        <v>1</v>
      </c>
      <c r="B35" t="s">
        <v>54</v>
      </c>
      <c r="C35" s="68" t="s">
        <v>13</v>
      </c>
      <c r="D35" s="69" t="s">
        <v>34</v>
      </c>
      <c r="E35" s="69" t="s">
        <v>22</v>
      </c>
      <c r="F35" s="67">
        <v>2302.4361259655379</v>
      </c>
      <c r="G35" s="67">
        <v>21.220609455903574</v>
      </c>
      <c r="H35" s="67">
        <v>95.492742551566081</v>
      </c>
    </row>
    <row r="36" spans="1:8" x14ac:dyDescent="0.2">
      <c r="A36">
        <v>1</v>
      </c>
      <c r="B36" t="s">
        <v>54</v>
      </c>
      <c r="C36" s="68" t="s">
        <v>13</v>
      </c>
      <c r="D36" s="69" t="s">
        <v>55</v>
      </c>
      <c r="E36" s="69" t="s">
        <v>22</v>
      </c>
      <c r="F36" s="67">
        <v>3469.5696460402341</v>
      </c>
      <c r="G36" s="67">
        <v>190.98548510313216</v>
      </c>
      <c r="H36" s="67">
        <v>0</v>
      </c>
    </row>
    <row r="37" spans="1:8" x14ac:dyDescent="0.2">
      <c r="A37">
        <v>1</v>
      </c>
      <c r="B37" t="s">
        <v>54</v>
      </c>
      <c r="C37" s="68" t="s">
        <v>13</v>
      </c>
      <c r="D37" s="69" t="s">
        <v>34</v>
      </c>
      <c r="E37" s="69" t="s">
        <v>22</v>
      </c>
      <c r="F37" s="67">
        <v>1750.7002801120448</v>
      </c>
      <c r="G37" s="67">
        <v>10.610304727951787</v>
      </c>
      <c r="H37" s="67">
        <v>31.830914183855359</v>
      </c>
    </row>
    <row r="38" spans="1:8" x14ac:dyDescent="0.2">
      <c r="A38">
        <v>1</v>
      </c>
      <c r="B38" t="s">
        <v>54</v>
      </c>
      <c r="C38" s="69" t="s">
        <v>14</v>
      </c>
      <c r="D38" s="68" t="s">
        <v>55</v>
      </c>
      <c r="E38" s="69" t="s">
        <v>22</v>
      </c>
      <c r="F38" s="67">
        <v>604.78736949325184</v>
      </c>
      <c r="G38" s="67">
        <v>1050.420168067227</v>
      </c>
      <c r="H38" s="67">
        <v>350.14005602240894</v>
      </c>
    </row>
    <row r="39" spans="1:8" x14ac:dyDescent="0.2">
      <c r="A39">
        <v>1</v>
      </c>
      <c r="B39" t="s">
        <v>54</v>
      </c>
      <c r="C39" s="69" t="s">
        <v>14</v>
      </c>
      <c r="D39" s="69" t="s">
        <v>34</v>
      </c>
      <c r="E39" s="69" t="s">
        <v>22</v>
      </c>
      <c r="F39" s="67">
        <v>700.28011204481788</v>
      </c>
      <c r="G39" s="67">
        <v>10.610304727951787</v>
      </c>
      <c r="H39" s="67">
        <v>31.830914183855359</v>
      </c>
    </row>
    <row r="40" spans="1:8" x14ac:dyDescent="0.2">
      <c r="A40">
        <v>1</v>
      </c>
      <c r="B40" t="s">
        <v>54</v>
      </c>
      <c r="C40" s="69" t="s">
        <v>14</v>
      </c>
      <c r="D40" s="69" t="s">
        <v>55</v>
      </c>
      <c r="E40" s="69" t="s">
        <v>22</v>
      </c>
      <c r="F40" s="67">
        <v>763.94194041252865</v>
      </c>
      <c r="G40" s="67">
        <v>954.92742551566084</v>
      </c>
      <c r="H40" s="67">
        <v>2323.6567354214412</v>
      </c>
    </row>
    <row r="41" spans="1:8" x14ac:dyDescent="0.2">
      <c r="A41">
        <v>1</v>
      </c>
      <c r="B41" t="s">
        <v>54</v>
      </c>
      <c r="C41" s="69" t="s">
        <v>14</v>
      </c>
      <c r="D41" s="69" t="s">
        <v>34</v>
      </c>
      <c r="E41" s="69" t="s">
        <v>22</v>
      </c>
      <c r="F41" s="67">
        <v>742.72133095662514</v>
      </c>
      <c r="G41" s="67">
        <v>10.610304727951787</v>
      </c>
      <c r="H41" s="67">
        <v>180.37518037518038</v>
      </c>
    </row>
    <row r="42" spans="1:8" x14ac:dyDescent="0.2">
      <c r="A42">
        <v>1</v>
      </c>
      <c r="B42" t="s">
        <v>54</v>
      </c>
      <c r="C42" s="69" t="s">
        <v>15</v>
      </c>
      <c r="D42" s="68" t="s">
        <v>55</v>
      </c>
      <c r="E42" s="69" t="s">
        <v>22</v>
      </c>
      <c r="F42" s="67">
        <v>1368.7293099057806</v>
      </c>
      <c r="G42" s="67">
        <v>286.47822765469823</v>
      </c>
      <c r="H42" s="67">
        <v>1368.7293099057806</v>
      </c>
    </row>
    <row r="43" spans="1:8" x14ac:dyDescent="0.2">
      <c r="A43">
        <v>1</v>
      </c>
      <c r="B43" t="s">
        <v>54</v>
      </c>
      <c r="C43" s="69" t="s">
        <v>15</v>
      </c>
      <c r="D43" s="69" t="s">
        <v>34</v>
      </c>
      <c r="E43" s="69" t="s">
        <v>22</v>
      </c>
      <c r="F43" s="67">
        <v>859.43468296409469</v>
      </c>
      <c r="G43" s="67">
        <v>53.051523639758933</v>
      </c>
      <c r="H43" s="67">
        <v>169.76487564722859</v>
      </c>
    </row>
    <row r="44" spans="1:8" x14ac:dyDescent="0.2">
      <c r="A44">
        <v>1</v>
      </c>
      <c r="B44" t="s">
        <v>54</v>
      </c>
      <c r="C44" s="69" t="s">
        <v>15</v>
      </c>
      <c r="D44" s="69" t="s">
        <v>55</v>
      </c>
      <c r="E44" s="69" t="s">
        <v>22</v>
      </c>
      <c r="F44" s="67">
        <v>636.61828367710723</v>
      </c>
      <c r="G44" s="67">
        <v>318.30914183855361</v>
      </c>
      <c r="H44" s="67">
        <v>127.32365673542144</v>
      </c>
    </row>
    <row r="45" spans="1:8" x14ac:dyDescent="0.2">
      <c r="A45">
        <v>1</v>
      </c>
      <c r="B45" t="s">
        <v>54</v>
      </c>
      <c r="C45" s="69" t="s">
        <v>15</v>
      </c>
      <c r="D45" s="69" t="s">
        <v>34</v>
      </c>
      <c r="E45" s="69" t="s">
        <v>22</v>
      </c>
      <c r="F45" s="67">
        <v>636.61828367710723</v>
      </c>
      <c r="G45" s="67">
        <v>53.051523639758933</v>
      </c>
      <c r="H45" s="67">
        <v>21.220609455903574</v>
      </c>
    </row>
    <row r="46" spans="1:8" x14ac:dyDescent="0.2">
      <c r="A46">
        <v>1</v>
      </c>
      <c r="B46" t="s">
        <v>54</v>
      </c>
      <c r="C46" s="69" t="s">
        <v>16</v>
      </c>
      <c r="D46" s="68" t="s">
        <v>55</v>
      </c>
      <c r="E46" s="69" t="s">
        <v>22</v>
      </c>
      <c r="F46" s="67">
        <v>477.46371275783042</v>
      </c>
      <c r="G46" s="67">
        <v>95.492742551566081</v>
      </c>
      <c r="H46" s="67">
        <v>63.661828367710719</v>
      </c>
    </row>
    <row r="47" spans="1:8" x14ac:dyDescent="0.2">
      <c r="A47">
        <v>1</v>
      </c>
      <c r="B47" t="s">
        <v>54</v>
      </c>
      <c r="C47" s="69" t="s">
        <v>16</v>
      </c>
      <c r="D47" s="69" t="s">
        <v>34</v>
      </c>
      <c r="E47" s="69" t="s">
        <v>22</v>
      </c>
      <c r="F47" s="67">
        <v>541.12554112554119</v>
      </c>
      <c r="G47" s="67">
        <v>0</v>
      </c>
      <c r="H47" s="67">
        <v>0</v>
      </c>
    </row>
    <row r="48" spans="1:8" x14ac:dyDescent="0.2">
      <c r="A48">
        <v>1</v>
      </c>
      <c r="B48" t="s">
        <v>54</v>
      </c>
      <c r="C48" s="69" t="s">
        <v>16</v>
      </c>
      <c r="D48" s="69" t="s">
        <v>55</v>
      </c>
      <c r="E48" s="69" t="s">
        <v>22</v>
      </c>
      <c r="F48" s="67">
        <v>1432.3911382734912</v>
      </c>
      <c r="G48" s="67">
        <v>127.32365673542144</v>
      </c>
      <c r="H48" s="67">
        <v>63.661828367710719</v>
      </c>
    </row>
    <row r="49" spans="1:8" x14ac:dyDescent="0.2">
      <c r="A49">
        <v>1</v>
      </c>
      <c r="B49" t="s">
        <v>54</v>
      </c>
      <c r="C49" s="69" t="s">
        <v>16</v>
      </c>
      <c r="D49" s="69" t="s">
        <v>34</v>
      </c>
      <c r="E49" s="69" t="s">
        <v>22</v>
      </c>
      <c r="F49" s="67">
        <v>541.12554112554119</v>
      </c>
      <c r="G49" s="67">
        <v>0</v>
      </c>
      <c r="H49" s="67">
        <v>42.441218911807148</v>
      </c>
    </row>
    <row r="50" spans="1:8" x14ac:dyDescent="0.2">
      <c r="A50">
        <v>1</v>
      </c>
      <c r="B50" t="s">
        <v>54</v>
      </c>
      <c r="C50" s="69" t="s">
        <v>17</v>
      </c>
      <c r="D50" s="68" t="s">
        <v>55</v>
      </c>
      <c r="E50" s="69" t="s">
        <v>22</v>
      </c>
      <c r="F50" s="67">
        <v>2705.6277056277058</v>
      </c>
      <c r="G50" s="67" t="s">
        <v>24</v>
      </c>
      <c r="H50" s="67">
        <v>2482.8113063407181</v>
      </c>
    </row>
    <row r="51" spans="1:8" x14ac:dyDescent="0.2">
      <c r="A51">
        <v>1</v>
      </c>
      <c r="B51" t="s">
        <v>54</v>
      </c>
      <c r="C51" s="69" t="s">
        <v>17</v>
      </c>
      <c r="D51" s="69" t="s">
        <v>34</v>
      </c>
      <c r="E51" s="69" t="s">
        <v>22</v>
      </c>
      <c r="F51" s="67">
        <v>233.4267040149393</v>
      </c>
      <c r="G51" s="67" t="s">
        <v>24</v>
      </c>
      <c r="H51" s="67">
        <v>0</v>
      </c>
    </row>
    <row r="52" spans="1:8" x14ac:dyDescent="0.2">
      <c r="A52">
        <v>1</v>
      </c>
      <c r="B52" t="s">
        <v>54</v>
      </c>
      <c r="C52" s="69" t="s">
        <v>17</v>
      </c>
      <c r="D52" s="69" t="s">
        <v>55</v>
      </c>
      <c r="E52" s="69" t="s">
        <v>22</v>
      </c>
      <c r="F52" s="67">
        <v>636.61828367710723</v>
      </c>
      <c r="G52" s="67">
        <v>63.661828367710719</v>
      </c>
      <c r="H52" s="67" t="s">
        <v>24</v>
      </c>
    </row>
    <row r="53" spans="1:8" x14ac:dyDescent="0.2">
      <c r="A53">
        <v>1</v>
      </c>
      <c r="B53" t="s">
        <v>54</v>
      </c>
      <c r="C53" s="69" t="s">
        <v>17</v>
      </c>
      <c r="D53" s="69" t="s">
        <v>34</v>
      </c>
      <c r="E53" s="69" t="s">
        <v>22</v>
      </c>
      <c r="F53" s="67">
        <v>360.75036075036076</v>
      </c>
      <c r="G53" s="67">
        <v>10.610304727951787</v>
      </c>
      <c r="H53" s="67" t="s">
        <v>24</v>
      </c>
    </row>
    <row r="54" spans="1:8" x14ac:dyDescent="0.2">
      <c r="A54">
        <v>1</v>
      </c>
      <c r="B54" t="s">
        <v>54</v>
      </c>
      <c r="C54" s="69" t="s">
        <v>18</v>
      </c>
      <c r="D54" s="68" t="s">
        <v>55</v>
      </c>
      <c r="E54" s="69" t="s">
        <v>22</v>
      </c>
      <c r="F54" s="67">
        <v>3374.0769034886684</v>
      </c>
      <c r="G54" s="67">
        <v>318.30914183855361</v>
      </c>
      <c r="H54" s="67" t="s">
        <v>24</v>
      </c>
    </row>
    <row r="55" spans="1:8" x14ac:dyDescent="0.2">
      <c r="A55">
        <v>1</v>
      </c>
      <c r="B55" t="s">
        <v>54</v>
      </c>
      <c r="C55" s="69" t="s">
        <v>18</v>
      </c>
      <c r="D55" s="69" t="s">
        <v>34</v>
      </c>
      <c r="E55" s="69" t="s">
        <v>22</v>
      </c>
      <c r="F55" s="67">
        <v>1665.8178422884305</v>
      </c>
      <c r="G55" s="67">
        <v>0</v>
      </c>
      <c r="H55" s="67" t="s">
        <v>24</v>
      </c>
    </row>
    <row r="56" spans="1:8" x14ac:dyDescent="0.2">
      <c r="A56">
        <v>1</v>
      </c>
      <c r="B56" t="s">
        <v>54</v>
      </c>
      <c r="C56" s="69" t="s">
        <v>18</v>
      </c>
      <c r="D56" s="69" t="s">
        <v>55</v>
      </c>
      <c r="E56" s="69" t="s">
        <v>22</v>
      </c>
      <c r="F56" s="67">
        <v>954.92742551566084</v>
      </c>
      <c r="G56" s="67">
        <v>509.29462694168575</v>
      </c>
      <c r="H56" s="67">
        <v>636.61828367710723</v>
      </c>
    </row>
    <row r="57" spans="1:8" x14ac:dyDescent="0.2">
      <c r="A57">
        <v>1</v>
      </c>
      <c r="B57" t="s">
        <v>54</v>
      </c>
      <c r="C57" s="69" t="s">
        <v>18</v>
      </c>
      <c r="D57" s="69" t="s">
        <v>34</v>
      </c>
      <c r="E57" s="69" t="s">
        <v>22</v>
      </c>
      <c r="F57" s="67">
        <v>530.51523639758932</v>
      </c>
      <c r="G57" s="67">
        <v>10.610304727951787</v>
      </c>
      <c r="H57" s="67">
        <v>0</v>
      </c>
    </row>
    <row r="58" spans="1:8" x14ac:dyDescent="0.2">
      <c r="A58">
        <v>1</v>
      </c>
      <c r="B58" t="s">
        <v>54</v>
      </c>
      <c r="C58" s="69" t="s">
        <v>19</v>
      </c>
      <c r="D58" s="68" t="s">
        <v>55</v>
      </c>
      <c r="E58" s="69" t="s">
        <v>22</v>
      </c>
      <c r="F58" s="67">
        <v>2419.1494779730074</v>
      </c>
      <c r="G58" s="67">
        <v>318.30914183855361</v>
      </c>
      <c r="H58" s="67">
        <v>381.97097020626433</v>
      </c>
    </row>
    <row r="59" spans="1:8" x14ac:dyDescent="0.2">
      <c r="A59">
        <v>1</v>
      </c>
      <c r="B59" t="s">
        <v>54</v>
      </c>
      <c r="C59" s="69" t="s">
        <v>19</v>
      </c>
      <c r="D59" s="69" t="s">
        <v>34</v>
      </c>
      <c r="E59" s="69" t="s">
        <v>22</v>
      </c>
      <c r="F59" s="67">
        <v>1039.8098633392751</v>
      </c>
      <c r="G59" s="67">
        <v>10.610304727951787</v>
      </c>
      <c r="H59" s="67">
        <v>10.610304727951787</v>
      </c>
    </row>
    <row r="60" spans="1:8" x14ac:dyDescent="0.2">
      <c r="A60">
        <v>1</v>
      </c>
      <c r="B60" t="s">
        <v>54</v>
      </c>
      <c r="C60" s="69" t="s">
        <v>19</v>
      </c>
      <c r="D60" s="69" t="s">
        <v>55</v>
      </c>
      <c r="E60" s="69" t="s">
        <v>22</v>
      </c>
      <c r="F60" s="67">
        <v>3055.7677616501146</v>
      </c>
      <c r="G60" s="67">
        <v>318.30914183855361</v>
      </c>
      <c r="H60" s="67">
        <v>318.30914183855361</v>
      </c>
    </row>
    <row r="61" spans="1:8" x14ac:dyDescent="0.2">
      <c r="A61">
        <v>1</v>
      </c>
      <c r="B61" t="s">
        <v>54</v>
      </c>
      <c r="C61" s="69" t="s">
        <v>19</v>
      </c>
      <c r="D61" s="69" t="s">
        <v>34</v>
      </c>
      <c r="E61" s="69" t="s">
        <v>22</v>
      </c>
      <c r="F61" s="67">
        <v>1474.8323571852984</v>
      </c>
      <c r="G61" s="67">
        <v>21.220609455903574</v>
      </c>
      <c r="H61" s="67">
        <v>0</v>
      </c>
    </row>
    <row r="62" spans="1:8" x14ac:dyDescent="0.2">
      <c r="A62">
        <v>1</v>
      </c>
      <c r="B62" t="s">
        <v>54</v>
      </c>
      <c r="C62" s="70" t="s">
        <v>20</v>
      </c>
      <c r="D62" s="68" t="s">
        <v>55</v>
      </c>
      <c r="E62" s="69" t="s">
        <v>22</v>
      </c>
      <c r="F62" s="67">
        <v>923.09651133180546</v>
      </c>
      <c r="G62" s="67">
        <v>1527.8838808250573</v>
      </c>
      <c r="H62" s="67">
        <v>95.492742551566081</v>
      </c>
    </row>
    <row r="63" spans="1:8" x14ac:dyDescent="0.2">
      <c r="A63">
        <v>1</v>
      </c>
      <c r="B63" t="s">
        <v>54</v>
      </c>
      <c r="C63" s="70" t="s">
        <v>20</v>
      </c>
      <c r="D63" s="69" t="s">
        <v>34</v>
      </c>
      <c r="E63" s="69" t="s">
        <v>22</v>
      </c>
      <c r="F63" s="67">
        <v>647.22858840505899</v>
      </c>
      <c r="G63" s="67">
        <v>159.15457091927681</v>
      </c>
      <c r="H63" s="67">
        <v>21.220609455903574</v>
      </c>
    </row>
    <row r="64" spans="1:8" x14ac:dyDescent="0.2">
      <c r="A64">
        <v>1</v>
      </c>
      <c r="B64" t="s">
        <v>54</v>
      </c>
      <c r="C64" s="70" t="s">
        <v>20</v>
      </c>
      <c r="D64" s="69" t="s">
        <v>55</v>
      </c>
      <c r="E64" s="69" t="s">
        <v>22</v>
      </c>
      <c r="F64" s="67">
        <v>509.29462694168575</v>
      </c>
      <c r="G64" s="67" t="s">
        <v>24</v>
      </c>
      <c r="H64" s="67">
        <v>31.830914183855359</v>
      </c>
    </row>
    <row r="65" spans="1:8" x14ac:dyDescent="0.2">
      <c r="A65">
        <v>1</v>
      </c>
      <c r="B65" t="s">
        <v>54</v>
      </c>
      <c r="C65" s="70" t="s">
        <v>20</v>
      </c>
      <c r="D65" s="69" t="s">
        <v>34</v>
      </c>
      <c r="E65" s="69" t="s">
        <v>22</v>
      </c>
      <c r="F65" s="67">
        <v>371.36066547831257</v>
      </c>
      <c r="G65" s="67" t="s">
        <v>24</v>
      </c>
      <c r="H65" s="67">
        <v>10.610304727951787</v>
      </c>
    </row>
    <row r="66" spans="1:8" x14ac:dyDescent="0.2">
      <c r="A66">
        <v>1</v>
      </c>
      <c r="B66" t="s">
        <v>57</v>
      </c>
      <c r="C66" s="67" t="s">
        <v>18</v>
      </c>
      <c r="D66" s="69" t="s">
        <v>55</v>
      </c>
      <c r="E66" s="67" t="s">
        <v>0</v>
      </c>
      <c r="F66" s="67">
        <v>795.77285459638404</v>
      </c>
      <c r="G66" s="67" t="s">
        <v>24</v>
      </c>
      <c r="H66" s="67">
        <v>318.30914183855361</v>
      </c>
    </row>
    <row r="67" spans="1:8" x14ac:dyDescent="0.2">
      <c r="A67">
        <v>1</v>
      </c>
      <c r="B67" t="s">
        <v>57</v>
      </c>
      <c r="C67" s="67" t="s">
        <v>18</v>
      </c>
      <c r="D67" s="69" t="s">
        <v>34</v>
      </c>
      <c r="E67" s="67" t="s">
        <v>0</v>
      </c>
      <c r="F67" s="67">
        <v>604.78736949325184</v>
      </c>
      <c r="G67" s="67" t="s">
        <v>24</v>
      </c>
      <c r="H67" s="67">
        <v>42.441218911807148</v>
      </c>
    </row>
    <row r="68" spans="1:8" x14ac:dyDescent="0.2">
      <c r="A68">
        <v>1</v>
      </c>
      <c r="B68" t="s">
        <v>57</v>
      </c>
      <c r="C68" s="67" t="s">
        <v>18</v>
      </c>
      <c r="D68" s="69" t="s">
        <v>55</v>
      </c>
      <c r="E68" s="67" t="s">
        <v>22</v>
      </c>
      <c r="F68" s="67">
        <v>1464.2220524573465</v>
      </c>
      <c r="G68" s="67">
        <v>413.80188439011971</v>
      </c>
      <c r="H68" s="67">
        <v>127.32365673542144</v>
      </c>
    </row>
    <row r="69" spans="1:8" x14ac:dyDescent="0.2">
      <c r="A69">
        <v>1</v>
      </c>
      <c r="B69" t="s">
        <v>57</v>
      </c>
      <c r="C69" s="67" t="s">
        <v>18</v>
      </c>
      <c r="D69" s="69" t="s">
        <v>34</v>
      </c>
      <c r="E69" s="67" t="s">
        <v>22</v>
      </c>
      <c r="F69" s="67">
        <v>488.07401748578218</v>
      </c>
      <c r="G69" s="67">
        <v>127.32365673542144</v>
      </c>
      <c r="H69" s="67">
        <v>74.272133095662511</v>
      </c>
    </row>
    <row r="70" spans="1:8" x14ac:dyDescent="0.2">
      <c r="A70">
        <v>1</v>
      </c>
      <c r="B70" t="s">
        <v>57</v>
      </c>
      <c r="C70" s="67" t="s">
        <v>19</v>
      </c>
      <c r="D70" s="69" t="s">
        <v>55</v>
      </c>
      <c r="E70" s="67" t="s">
        <v>0</v>
      </c>
      <c r="F70" s="67">
        <v>4615.4825566590271</v>
      </c>
      <c r="G70" s="67">
        <v>0</v>
      </c>
      <c r="H70" s="67">
        <v>477.46371275783042</v>
      </c>
    </row>
    <row r="71" spans="1:8" x14ac:dyDescent="0.2">
      <c r="A71">
        <v>1</v>
      </c>
      <c r="B71" t="s">
        <v>57</v>
      </c>
      <c r="C71" s="67" t="s">
        <v>19</v>
      </c>
      <c r="D71" s="69" t="s">
        <v>34</v>
      </c>
      <c r="E71" s="67" t="s">
        <v>0</v>
      </c>
      <c r="F71" s="67">
        <v>1920.4651557592733</v>
      </c>
      <c r="G71" s="67">
        <v>0</v>
      </c>
      <c r="H71" s="67">
        <v>10.610304727951787</v>
      </c>
    </row>
    <row r="72" spans="1:8" x14ac:dyDescent="0.2">
      <c r="A72">
        <v>1</v>
      </c>
      <c r="B72" t="s">
        <v>57</v>
      </c>
      <c r="C72" s="67" t="s">
        <v>19</v>
      </c>
      <c r="D72" s="69" t="s">
        <v>55</v>
      </c>
      <c r="E72" s="67" t="s">
        <v>22</v>
      </c>
      <c r="F72" s="67">
        <v>1878.0239368474663</v>
      </c>
      <c r="G72" s="67">
        <v>413.80188439011971</v>
      </c>
      <c r="H72" s="67">
        <v>7130.1247771836006</v>
      </c>
    </row>
    <row r="73" spans="1:8" x14ac:dyDescent="0.2">
      <c r="A73">
        <v>1</v>
      </c>
      <c r="B73" t="s">
        <v>57</v>
      </c>
      <c r="C73" s="67" t="s">
        <v>19</v>
      </c>
      <c r="D73" s="69" t="s">
        <v>34</v>
      </c>
      <c r="E73" s="67" t="s">
        <v>22</v>
      </c>
      <c r="F73" s="67">
        <v>1400.5602240896358</v>
      </c>
      <c r="G73" s="67">
        <v>10.610304727951787</v>
      </c>
      <c r="H73" s="67">
        <v>233.4267040149393</v>
      </c>
    </row>
    <row r="74" spans="1:8" x14ac:dyDescent="0.2">
      <c r="A74">
        <v>1</v>
      </c>
      <c r="B74" t="s">
        <v>57</v>
      </c>
      <c r="C74" s="67" t="s">
        <v>20</v>
      </c>
      <c r="D74" s="69" t="s">
        <v>55</v>
      </c>
      <c r="E74" s="67" t="s">
        <v>0</v>
      </c>
      <c r="F74" s="67">
        <v>1336.8983957219252</v>
      </c>
      <c r="G74" s="67" t="s">
        <v>24</v>
      </c>
      <c r="H74" s="67">
        <v>4647.3134708428825</v>
      </c>
    </row>
    <row r="75" spans="1:8" x14ac:dyDescent="0.2">
      <c r="A75">
        <v>1</v>
      </c>
      <c r="B75" t="s">
        <v>57</v>
      </c>
      <c r="C75" s="67" t="s">
        <v>20</v>
      </c>
      <c r="D75" s="69" t="s">
        <v>34</v>
      </c>
      <c r="E75" s="67" t="s">
        <v>0</v>
      </c>
      <c r="F75" s="67">
        <v>986.75833969951623</v>
      </c>
      <c r="G75" s="67" t="s">
        <v>24</v>
      </c>
      <c r="H75" s="67">
        <v>1124.6923011628894</v>
      </c>
    </row>
    <row r="76" spans="1:8" x14ac:dyDescent="0.2">
      <c r="A76">
        <v>1</v>
      </c>
      <c r="B76" t="s">
        <v>57</v>
      </c>
      <c r="C76" s="67" t="s">
        <v>20</v>
      </c>
      <c r="D76" s="69" t="s">
        <v>55</v>
      </c>
      <c r="E76" s="67" t="s">
        <v>22</v>
      </c>
      <c r="F76" s="67">
        <v>2164.5021645021648</v>
      </c>
      <c r="G76" s="67">
        <v>0</v>
      </c>
      <c r="H76" s="67">
        <v>636.61828367710723</v>
      </c>
    </row>
    <row r="77" spans="1:8" x14ac:dyDescent="0.2">
      <c r="A77">
        <v>1</v>
      </c>
      <c r="B77" t="s">
        <v>57</v>
      </c>
      <c r="C77" s="67" t="s">
        <v>20</v>
      </c>
      <c r="D77" s="69" t="s">
        <v>34</v>
      </c>
      <c r="E77" s="67" t="s">
        <v>22</v>
      </c>
      <c r="F77" s="67">
        <v>880.65529241999832</v>
      </c>
      <c r="G77" s="67">
        <v>21.220609455903574</v>
      </c>
      <c r="H77" s="67">
        <v>0</v>
      </c>
    </row>
    <row r="78" spans="1:8" x14ac:dyDescent="0.2">
      <c r="A78">
        <v>2</v>
      </c>
      <c r="C78" s="68" t="s">
        <v>13</v>
      </c>
      <c r="D78" s="68" t="s">
        <v>55</v>
      </c>
      <c r="E78" s="68" t="s">
        <v>0</v>
      </c>
      <c r="F78" s="67">
        <v>954.92742551566084</v>
      </c>
      <c r="G78" s="67">
        <v>95.492742551566081</v>
      </c>
      <c r="H78" s="67">
        <v>4774.637127578304</v>
      </c>
    </row>
    <row r="79" spans="1:8" x14ac:dyDescent="0.2">
      <c r="A79">
        <v>2</v>
      </c>
      <c r="C79" s="68" t="s">
        <v>13</v>
      </c>
      <c r="D79" s="69" t="s">
        <v>34</v>
      </c>
      <c r="E79" s="68" t="s">
        <v>0</v>
      </c>
      <c r="F79" s="67">
        <v>859.43468296409469</v>
      </c>
      <c r="G79" s="67">
        <v>21.220609455903574</v>
      </c>
      <c r="H79" s="67">
        <v>1071.6407775231305</v>
      </c>
    </row>
    <row r="80" spans="1:8" x14ac:dyDescent="0.2">
      <c r="A80">
        <v>2</v>
      </c>
      <c r="C80" s="68" t="s">
        <v>13</v>
      </c>
      <c r="D80" s="69" t="s">
        <v>55</v>
      </c>
      <c r="E80" s="68" t="s">
        <v>0</v>
      </c>
      <c r="F80" s="67">
        <v>1496.0529666412019</v>
      </c>
      <c r="G80" s="67">
        <v>286.47822765469823</v>
      </c>
      <c r="H80" s="67">
        <v>4870.1298701298701</v>
      </c>
    </row>
    <row r="81" spans="1:8" x14ac:dyDescent="0.2">
      <c r="A81">
        <v>2</v>
      </c>
      <c r="C81" s="68" t="s">
        <v>13</v>
      </c>
      <c r="D81" s="69" t="s">
        <v>34</v>
      </c>
      <c r="E81" s="68" t="s">
        <v>0</v>
      </c>
      <c r="F81" s="67">
        <v>1305.0674815380698</v>
      </c>
      <c r="G81" s="67">
        <v>21.220609455903574</v>
      </c>
      <c r="H81" s="67">
        <v>254.64731347084287</v>
      </c>
    </row>
    <row r="82" spans="1:8" x14ac:dyDescent="0.2">
      <c r="A82">
        <v>2</v>
      </c>
      <c r="C82" s="69" t="s">
        <v>14</v>
      </c>
      <c r="D82" s="68" t="s">
        <v>55</v>
      </c>
      <c r="E82" s="68" t="s">
        <v>0</v>
      </c>
      <c r="F82" s="67">
        <v>2005.3475935828878</v>
      </c>
      <c r="G82" s="67">
        <v>95.492742551566081</v>
      </c>
      <c r="H82" s="67">
        <v>3469.5696460402341</v>
      </c>
    </row>
    <row r="83" spans="1:8" x14ac:dyDescent="0.2">
      <c r="A83">
        <v>2</v>
      </c>
      <c r="C83" s="69" t="s">
        <v>14</v>
      </c>
      <c r="D83" s="69" t="s">
        <v>34</v>
      </c>
      <c r="E83" s="68" t="s">
        <v>0</v>
      </c>
      <c r="F83" s="67">
        <v>954.92742551566084</v>
      </c>
      <c r="G83" s="67">
        <v>10.610304727951787</v>
      </c>
      <c r="H83" s="67">
        <v>244.03700874289109</v>
      </c>
    </row>
    <row r="84" spans="1:8" x14ac:dyDescent="0.2">
      <c r="A84">
        <v>2</v>
      </c>
      <c r="C84" s="69" t="s">
        <v>14</v>
      </c>
      <c r="D84" s="69" t="s">
        <v>55</v>
      </c>
      <c r="E84" s="68" t="s">
        <v>0</v>
      </c>
      <c r="F84" s="67">
        <v>1145.9129106187929</v>
      </c>
      <c r="G84" s="67">
        <v>318.30914183855361</v>
      </c>
      <c r="H84" s="67">
        <v>7703.0812324929975</v>
      </c>
    </row>
    <row r="85" spans="1:8" x14ac:dyDescent="0.2">
      <c r="A85">
        <v>2</v>
      </c>
      <c r="C85" s="69" t="s">
        <v>14</v>
      </c>
      <c r="D85" s="69" t="s">
        <v>34</v>
      </c>
      <c r="E85" s="68" t="s">
        <v>0</v>
      </c>
      <c r="F85" s="67">
        <v>1082.2510822510824</v>
      </c>
      <c r="G85" s="67">
        <v>31.830914183855359</v>
      </c>
      <c r="H85" s="67">
        <v>1283.8468720821663</v>
      </c>
    </row>
    <row r="86" spans="1:8" x14ac:dyDescent="0.2">
      <c r="A86">
        <v>2</v>
      </c>
      <c r="C86" s="69" t="s">
        <v>15</v>
      </c>
      <c r="D86" s="68" t="s">
        <v>55</v>
      </c>
      <c r="E86" s="68" t="s">
        <v>0</v>
      </c>
      <c r="F86" s="67">
        <v>1305.0674815380698</v>
      </c>
      <c r="G86" s="67">
        <v>222.81639928698752</v>
      </c>
      <c r="H86" s="67">
        <v>3342.2459893048131</v>
      </c>
    </row>
    <row r="87" spans="1:8" x14ac:dyDescent="0.2">
      <c r="A87">
        <v>2</v>
      </c>
      <c r="C87" s="69" t="s">
        <v>15</v>
      </c>
      <c r="D87" s="69" t="s">
        <v>34</v>
      </c>
      <c r="E87" s="68" t="s">
        <v>0</v>
      </c>
      <c r="F87" s="67">
        <v>880.65529241999832</v>
      </c>
      <c r="G87" s="67">
        <v>0</v>
      </c>
      <c r="H87" s="67">
        <v>498.68432221373399</v>
      </c>
    </row>
    <row r="88" spans="1:8" x14ac:dyDescent="0.2">
      <c r="A88">
        <v>2</v>
      </c>
      <c r="C88" s="69" t="s">
        <v>15</v>
      </c>
      <c r="D88" s="69" t="s">
        <v>55</v>
      </c>
      <c r="E88" s="68" t="s">
        <v>0</v>
      </c>
      <c r="F88" s="67">
        <v>2673.7967914438505</v>
      </c>
      <c r="G88" s="67">
        <v>1336.8983957219252</v>
      </c>
      <c r="H88" s="67">
        <v>2355.4876496052966</v>
      </c>
    </row>
    <row r="89" spans="1:8" x14ac:dyDescent="0.2">
      <c r="A89">
        <v>2</v>
      </c>
      <c r="C89" s="69" t="s">
        <v>15</v>
      </c>
      <c r="D89" s="69" t="s">
        <v>34</v>
      </c>
      <c r="E89" s="68" t="s">
        <v>0</v>
      </c>
      <c r="F89" s="67">
        <v>2047.7888124946949</v>
      </c>
      <c r="G89" s="67">
        <v>84.882437823614296</v>
      </c>
      <c r="H89" s="67">
        <v>636.61828367710723</v>
      </c>
    </row>
    <row r="90" spans="1:8" x14ac:dyDescent="0.2">
      <c r="A90">
        <v>2</v>
      </c>
      <c r="C90" s="69" t="s">
        <v>16</v>
      </c>
      <c r="D90" s="68" t="s">
        <v>55</v>
      </c>
      <c r="E90" s="68" t="s">
        <v>0</v>
      </c>
      <c r="F90" s="67">
        <v>1782.5311942959001</v>
      </c>
      <c r="G90" s="67">
        <v>63.661828367710719</v>
      </c>
      <c r="H90" s="67">
        <v>2196.3330786860197</v>
      </c>
    </row>
    <row r="91" spans="1:8" x14ac:dyDescent="0.2">
      <c r="A91">
        <v>2</v>
      </c>
      <c r="C91" s="69" t="s">
        <v>16</v>
      </c>
      <c r="D91" s="69" t="s">
        <v>34</v>
      </c>
      <c r="E91" s="68" t="s">
        <v>0</v>
      </c>
      <c r="F91" s="67">
        <v>1294.457176810118</v>
      </c>
      <c r="G91" s="67">
        <v>21.220609455903574</v>
      </c>
      <c r="H91" s="67">
        <v>106.10304727951787</v>
      </c>
    </row>
    <row r="92" spans="1:8" x14ac:dyDescent="0.2">
      <c r="A92">
        <v>2</v>
      </c>
      <c r="C92" s="69" t="s">
        <v>16</v>
      </c>
      <c r="D92" s="69" t="s">
        <v>55</v>
      </c>
      <c r="E92" s="68" t="s">
        <v>0</v>
      </c>
      <c r="F92" s="67">
        <v>3087.59867583397</v>
      </c>
      <c r="G92" s="67" t="s">
        <v>24</v>
      </c>
      <c r="H92" s="67">
        <v>63.661828367710719</v>
      </c>
    </row>
    <row r="93" spans="1:8" x14ac:dyDescent="0.2">
      <c r="A93">
        <v>2</v>
      </c>
      <c r="C93" s="69" t="s">
        <v>16</v>
      </c>
      <c r="D93" s="69" t="s">
        <v>34</v>
      </c>
      <c r="E93" s="68" t="s">
        <v>0</v>
      </c>
      <c r="F93" s="67">
        <v>1294.457176810118</v>
      </c>
      <c r="G93" s="67" t="s">
        <v>24</v>
      </c>
      <c r="H93" s="67">
        <v>0</v>
      </c>
    </row>
    <row r="94" spans="1:8" x14ac:dyDescent="0.2">
      <c r="A94">
        <v>2</v>
      </c>
      <c r="C94" s="69" t="s">
        <v>17</v>
      </c>
      <c r="D94" s="68" t="s">
        <v>55</v>
      </c>
      <c r="E94" s="68" t="s">
        <v>0</v>
      </c>
      <c r="F94" s="67">
        <v>541.12554112554119</v>
      </c>
      <c r="G94" s="67">
        <v>0</v>
      </c>
      <c r="H94" s="67">
        <v>31.830914183855359</v>
      </c>
    </row>
    <row r="95" spans="1:8" x14ac:dyDescent="0.2">
      <c r="A95">
        <v>2</v>
      </c>
      <c r="C95" s="69" t="s">
        <v>17</v>
      </c>
      <c r="D95" s="69" t="s">
        <v>34</v>
      </c>
      <c r="E95" s="68" t="s">
        <v>0</v>
      </c>
      <c r="F95" s="67">
        <v>551.73584585349295</v>
      </c>
      <c r="G95" s="67">
        <v>21.220609455903574</v>
      </c>
      <c r="H95" s="67">
        <v>0</v>
      </c>
    </row>
    <row r="96" spans="1:8" x14ac:dyDescent="0.2">
      <c r="A96">
        <v>2</v>
      </c>
      <c r="C96" s="69" t="s">
        <v>17</v>
      </c>
      <c r="D96" s="69" t="s">
        <v>55</v>
      </c>
      <c r="E96" s="68" t="s">
        <v>0</v>
      </c>
      <c r="F96" s="67">
        <v>636.61828367710723</v>
      </c>
      <c r="G96" s="67">
        <v>190.98548510313216</v>
      </c>
      <c r="H96" s="67">
        <v>31.830914183855359</v>
      </c>
    </row>
    <row r="97" spans="1:8" x14ac:dyDescent="0.2">
      <c r="A97">
        <v>2</v>
      </c>
      <c r="C97" s="69" t="s">
        <v>17</v>
      </c>
      <c r="D97" s="69" t="s">
        <v>34</v>
      </c>
      <c r="E97" s="68" t="s">
        <v>0</v>
      </c>
      <c r="F97" s="67">
        <v>403.1915796621679</v>
      </c>
      <c r="G97" s="67">
        <v>21.220609455903574</v>
      </c>
      <c r="H97" s="67">
        <v>53.051523639758933</v>
      </c>
    </row>
    <row r="98" spans="1:8" x14ac:dyDescent="0.2">
      <c r="A98">
        <v>2</v>
      </c>
      <c r="C98" s="69" t="s">
        <v>18</v>
      </c>
      <c r="D98" s="68" t="s">
        <v>55</v>
      </c>
      <c r="E98" s="68" t="s">
        <v>0</v>
      </c>
      <c r="F98" s="67" t="s">
        <v>24</v>
      </c>
      <c r="G98" s="67">
        <v>827.60376878023942</v>
      </c>
      <c r="H98" s="67">
        <v>95.492742551566081</v>
      </c>
    </row>
    <row r="99" spans="1:8" x14ac:dyDescent="0.2">
      <c r="A99">
        <v>2</v>
      </c>
      <c r="C99" s="69" t="s">
        <v>18</v>
      </c>
      <c r="D99" s="69" t="s">
        <v>34</v>
      </c>
      <c r="E99" s="68" t="s">
        <v>0</v>
      </c>
      <c r="F99" s="67" t="s">
        <v>24</v>
      </c>
      <c r="G99" s="67">
        <v>31.830914183855359</v>
      </c>
      <c r="H99" s="67">
        <v>10.610304727951787</v>
      </c>
    </row>
    <row r="100" spans="1:8" x14ac:dyDescent="0.2">
      <c r="A100">
        <v>2</v>
      </c>
      <c r="C100" s="69" t="s">
        <v>18</v>
      </c>
      <c r="D100" s="69" t="s">
        <v>55</v>
      </c>
      <c r="E100" s="68" t="s">
        <v>0</v>
      </c>
      <c r="F100" s="67">
        <v>1368.7293099057806</v>
      </c>
      <c r="G100" s="67" t="s">
        <v>24</v>
      </c>
      <c r="H100" s="67">
        <v>1177.7438248026483</v>
      </c>
    </row>
    <row r="101" spans="1:8" x14ac:dyDescent="0.2">
      <c r="A101">
        <v>2</v>
      </c>
      <c r="C101" s="69" t="s">
        <v>18</v>
      </c>
      <c r="D101" s="69" t="s">
        <v>34</v>
      </c>
      <c r="E101" s="68" t="s">
        <v>0</v>
      </c>
      <c r="F101" s="67">
        <v>976.14803497156436</v>
      </c>
      <c r="G101" s="67" t="s">
        <v>24</v>
      </c>
      <c r="H101" s="67">
        <v>10.610304727951787</v>
      </c>
    </row>
    <row r="102" spans="1:8" x14ac:dyDescent="0.2">
      <c r="A102">
        <v>2</v>
      </c>
      <c r="C102" s="69" t="s">
        <v>19</v>
      </c>
      <c r="D102" s="68" t="s">
        <v>55</v>
      </c>
      <c r="E102" s="68" t="s">
        <v>0</v>
      </c>
      <c r="F102" s="67" t="s">
        <v>24</v>
      </c>
      <c r="G102" s="67">
        <v>636.61828367710723</v>
      </c>
      <c r="H102" s="67">
        <v>2801.1204481792715</v>
      </c>
    </row>
    <row r="103" spans="1:8" x14ac:dyDescent="0.2">
      <c r="A103">
        <v>2</v>
      </c>
      <c r="C103" s="69" t="s">
        <v>19</v>
      </c>
      <c r="D103" s="69" t="s">
        <v>34</v>
      </c>
      <c r="E103" s="68" t="s">
        <v>0</v>
      </c>
      <c r="F103" s="67" t="s">
        <v>24</v>
      </c>
      <c r="G103" s="67">
        <v>10.610304727951787</v>
      </c>
      <c r="H103" s="67">
        <v>466.85340802987861</v>
      </c>
    </row>
    <row r="104" spans="1:8" x14ac:dyDescent="0.2">
      <c r="A104">
        <v>2</v>
      </c>
      <c r="C104" s="69" t="s">
        <v>19</v>
      </c>
      <c r="D104" s="69" t="s">
        <v>55</v>
      </c>
      <c r="E104" s="68" t="s">
        <v>0</v>
      </c>
      <c r="F104" s="67">
        <v>1400.5602240896358</v>
      </c>
      <c r="G104" s="67">
        <v>318.30914183855361</v>
      </c>
      <c r="H104" s="67">
        <v>1018.5892538833715</v>
      </c>
    </row>
    <row r="105" spans="1:8" x14ac:dyDescent="0.2">
      <c r="A105">
        <v>2</v>
      </c>
      <c r="C105" s="69" t="s">
        <v>19</v>
      </c>
      <c r="D105" s="69" t="s">
        <v>34</v>
      </c>
      <c r="E105" s="68" t="s">
        <v>0</v>
      </c>
      <c r="F105" s="67">
        <v>636.61828367710723</v>
      </c>
      <c r="G105" s="67">
        <v>10.610304727951787</v>
      </c>
      <c r="H105" s="67">
        <v>254.64731347084287</v>
      </c>
    </row>
    <row r="106" spans="1:8" x14ac:dyDescent="0.2">
      <c r="A106">
        <v>2</v>
      </c>
      <c r="C106" s="70" t="s">
        <v>20</v>
      </c>
      <c r="D106" s="68" t="s">
        <v>55</v>
      </c>
      <c r="E106" s="68" t="s">
        <v>0</v>
      </c>
      <c r="F106" s="67">
        <v>1814.3621084797555</v>
      </c>
      <c r="G106" s="67">
        <v>541.12554112554119</v>
      </c>
      <c r="H106" s="67">
        <v>954.92742551566084</v>
      </c>
    </row>
    <row r="107" spans="1:8" x14ac:dyDescent="0.2">
      <c r="A107">
        <v>2</v>
      </c>
      <c r="C107" s="70" t="s">
        <v>20</v>
      </c>
      <c r="D107" s="69" t="s">
        <v>34</v>
      </c>
      <c r="E107" s="68" t="s">
        <v>0</v>
      </c>
      <c r="F107" s="67">
        <v>944.31712078770909</v>
      </c>
      <c r="G107" s="67">
        <v>10.610304727951787</v>
      </c>
      <c r="H107" s="67">
        <v>190.98548510313216</v>
      </c>
    </row>
    <row r="108" spans="1:8" x14ac:dyDescent="0.2">
      <c r="A108">
        <v>2</v>
      </c>
      <c r="C108" s="70" t="s">
        <v>20</v>
      </c>
      <c r="D108" s="69" t="s">
        <v>55</v>
      </c>
      <c r="E108" s="68" t="s">
        <v>0</v>
      </c>
      <c r="F108" s="67">
        <v>604.78736949325184</v>
      </c>
      <c r="G108" s="67">
        <v>954.92742551566084</v>
      </c>
      <c r="H108" s="67">
        <v>413.80188439011971</v>
      </c>
    </row>
    <row r="109" spans="1:8" x14ac:dyDescent="0.2">
      <c r="A109">
        <v>2</v>
      </c>
      <c r="C109" s="70" t="s">
        <v>20</v>
      </c>
      <c r="D109" s="69" t="s">
        <v>34</v>
      </c>
      <c r="E109" s="68" t="s">
        <v>0</v>
      </c>
      <c r="F109" s="67">
        <v>1602.1560139207199</v>
      </c>
      <c r="G109" s="67">
        <v>95.492742551566081</v>
      </c>
      <c r="H109" s="67">
        <v>169.76487564722859</v>
      </c>
    </row>
    <row r="110" spans="1:8" x14ac:dyDescent="0.2">
      <c r="A110">
        <v>2</v>
      </c>
      <c r="C110" s="68" t="s">
        <v>13</v>
      </c>
      <c r="D110" s="68" t="s">
        <v>55</v>
      </c>
      <c r="E110" s="69" t="s">
        <v>22</v>
      </c>
      <c r="F110" s="67">
        <v>1782.5311942959001</v>
      </c>
      <c r="G110" s="67">
        <v>954.92742551566084</v>
      </c>
      <c r="H110" s="67">
        <v>891.26559714795007</v>
      </c>
    </row>
    <row r="111" spans="1:8" x14ac:dyDescent="0.2">
      <c r="A111">
        <v>2</v>
      </c>
      <c r="C111" s="68" t="s">
        <v>13</v>
      </c>
      <c r="D111" s="69" t="s">
        <v>34</v>
      </c>
      <c r="E111" s="69" t="s">
        <v>22</v>
      </c>
      <c r="F111" s="67">
        <v>838.21407350819118</v>
      </c>
      <c r="G111" s="67">
        <v>371.36066547831257</v>
      </c>
      <c r="H111" s="67">
        <v>244.03700874289109</v>
      </c>
    </row>
    <row r="112" spans="1:8" x14ac:dyDescent="0.2">
      <c r="A112">
        <v>2</v>
      </c>
      <c r="C112" s="68" t="s">
        <v>13</v>
      </c>
      <c r="D112" s="69" t="s">
        <v>55</v>
      </c>
      <c r="E112" s="69" t="s">
        <v>22</v>
      </c>
      <c r="F112" s="67">
        <v>2164.5021645021648</v>
      </c>
      <c r="G112" s="67">
        <v>3947.0333587980649</v>
      </c>
      <c r="H112" s="67">
        <v>8912.6559714795003</v>
      </c>
    </row>
    <row r="113" spans="1:8" x14ac:dyDescent="0.2">
      <c r="A113">
        <v>2</v>
      </c>
      <c r="C113" s="68" t="s">
        <v>13</v>
      </c>
      <c r="D113" s="69" t="s">
        <v>34</v>
      </c>
      <c r="E113" s="69" t="s">
        <v>22</v>
      </c>
      <c r="F113" s="67">
        <v>1464.2220524573465</v>
      </c>
      <c r="G113" s="67">
        <v>10.610304727951787</v>
      </c>
      <c r="H113" s="67">
        <v>1007.9789491554197</v>
      </c>
    </row>
    <row r="114" spans="1:8" x14ac:dyDescent="0.2">
      <c r="A114">
        <v>2</v>
      </c>
      <c r="C114" s="69" t="s">
        <v>14</v>
      </c>
      <c r="D114" s="68" t="s">
        <v>55</v>
      </c>
      <c r="E114" s="69" t="s">
        <v>22</v>
      </c>
      <c r="F114" s="67">
        <v>2355.4876496052966</v>
      </c>
      <c r="G114" s="67">
        <v>2419.1494779730074</v>
      </c>
      <c r="H114" s="67">
        <v>1464.2220524573465</v>
      </c>
    </row>
    <row r="115" spans="1:8" x14ac:dyDescent="0.2">
      <c r="A115">
        <v>2</v>
      </c>
      <c r="C115" s="69" t="s">
        <v>14</v>
      </c>
      <c r="D115" s="69" t="s">
        <v>34</v>
      </c>
      <c r="E115" s="69" t="s">
        <v>22</v>
      </c>
      <c r="F115" s="67">
        <v>753.3316356845769</v>
      </c>
      <c r="G115" s="67">
        <v>159.15457091927681</v>
      </c>
      <c r="H115" s="67">
        <v>190.98548510313216</v>
      </c>
    </row>
    <row r="116" spans="1:8" x14ac:dyDescent="0.2">
      <c r="A116">
        <v>2</v>
      </c>
      <c r="C116" s="69" t="s">
        <v>14</v>
      </c>
      <c r="D116" s="69" t="s">
        <v>55</v>
      </c>
      <c r="E116" s="69" t="s">
        <v>22</v>
      </c>
      <c r="F116" s="67">
        <v>923.09651133180546</v>
      </c>
      <c r="G116" s="67">
        <v>2228.1639928698751</v>
      </c>
      <c r="H116" s="67">
        <v>1623.3766233766235</v>
      </c>
    </row>
    <row r="117" spans="1:8" x14ac:dyDescent="0.2">
      <c r="A117">
        <v>2</v>
      </c>
      <c r="C117" s="69" t="s">
        <v>14</v>
      </c>
      <c r="D117" s="69" t="s">
        <v>34</v>
      </c>
      <c r="E117" s="69" t="s">
        <v>22</v>
      </c>
      <c r="F117" s="67">
        <v>901.87590187590195</v>
      </c>
      <c r="G117" s="67">
        <v>84.882437823614296</v>
      </c>
      <c r="H117" s="67">
        <v>562.3461505814447</v>
      </c>
    </row>
    <row r="118" spans="1:8" x14ac:dyDescent="0.2">
      <c r="A118">
        <v>2</v>
      </c>
      <c r="C118" s="69" t="s">
        <v>15</v>
      </c>
      <c r="D118" s="68" t="s">
        <v>55</v>
      </c>
      <c r="E118" s="69" t="s">
        <v>22</v>
      </c>
      <c r="F118" s="67">
        <v>2037.178507766743</v>
      </c>
      <c r="G118" s="67">
        <v>222.81639928698752</v>
      </c>
      <c r="H118" s="67">
        <v>222.81639928698752</v>
      </c>
    </row>
    <row r="119" spans="1:8" x14ac:dyDescent="0.2">
      <c r="A119">
        <v>2</v>
      </c>
      <c r="C119" s="69" t="s">
        <v>15</v>
      </c>
      <c r="D119" s="69" t="s">
        <v>34</v>
      </c>
      <c r="E119" s="69" t="s">
        <v>22</v>
      </c>
      <c r="F119" s="67">
        <v>1007.9789491554197</v>
      </c>
      <c r="G119" s="67">
        <v>10.610304727951787</v>
      </c>
      <c r="H119" s="67">
        <v>21.220609455903574</v>
      </c>
    </row>
    <row r="120" spans="1:8" x14ac:dyDescent="0.2">
      <c r="A120">
        <v>2</v>
      </c>
      <c r="C120" s="69" t="s">
        <v>15</v>
      </c>
      <c r="D120" s="69" t="s">
        <v>55</v>
      </c>
      <c r="E120" s="69" t="s">
        <v>22</v>
      </c>
      <c r="F120" s="67">
        <v>2864.7822765469823</v>
      </c>
      <c r="G120" s="67">
        <v>477.46371275783042</v>
      </c>
      <c r="H120" s="67">
        <v>286.47822765469823</v>
      </c>
    </row>
    <row r="121" spans="1:8" x14ac:dyDescent="0.2">
      <c r="A121">
        <v>2</v>
      </c>
      <c r="C121" s="69" t="s">
        <v>15</v>
      </c>
      <c r="D121" s="69" t="s">
        <v>34</v>
      </c>
      <c r="E121" s="69" t="s">
        <v>22</v>
      </c>
      <c r="F121" s="67">
        <v>1029.1995586113233</v>
      </c>
      <c r="G121" s="67">
        <v>31.830914183855359</v>
      </c>
      <c r="H121" s="67">
        <v>31.830914183855359</v>
      </c>
    </row>
    <row r="122" spans="1:8" x14ac:dyDescent="0.2">
      <c r="A122">
        <v>2</v>
      </c>
      <c r="C122" s="69" t="s">
        <v>16</v>
      </c>
      <c r="D122" s="68" t="s">
        <v>55</v>
      </c>
      <c r="E122" s="69" t="s">
        <v>22</v>
      </c>
      <c r="F122" s="67">
        <v>509.29462694168575</v>
      </c>
      <c r="G122" s="67">
        <v>381.97097020626433</v>
      </c>
      <c r="H122" s="67">
        <v>572.95645530939646</v>
      </c>
    </row>
    <row r="123" spans="1:8" x14ac:dyDescent="0.2">
      <c r="A123">
        <v>2</v>
      </c>
      <c r="C123" s="69" t="s">
        <v>16</v>
      </c>
      <c r="D123" s="69" t="s">
        <v>34</v>
      </c>
      <c r="E123" s="69" t="s">
        <v>22</v>
      </c>
      <c r="F123" s="67">
        <v>392.58127493421614</v>
      </c>
      <c r="G123" s="67">
        <v>148.54426619132502</v>
      </c>
      <c r="H123" s="67">
        <v>21.220609455903574</v>
      </c>
    </row>
    <row r="124" spans="1:8" x14ac:dyDescent="0.2">
      <c r="A124">
        <v>2</v>
      </c>
      <c r="C124" s="69" t="s">
        <v>16</v>
      </c>
      <c r="D124" s="69" t="s">
        <v>55</v>
      </c>
      <c r="E124" s="69" t="s">
        <v>22</v>
      </c>
      <c r="F124" s="67">
        <v>5029.2844410491471</v>
      </c>
      <c r="G124" s="67">
        <v>572.95645530939646</v>
      </c>
      <c r="H124" s="67">
        <v>63.661828367710719</v>
      </c>
    </row>
    <row r="125" spans="1:8" x14ac:dyDescent="0.2">
      <c r="A125">
        <v>2</v>
      </c>
      <c r="C125" s="69" t="s">
        <v>16</v>
      </c>
      <c r="D125" s="69" t="s">
        <v>34</v>
      </c>
      <c r="E125" s="69" t="s">
        <v>22</v>
      </c>
      <c r="F125" s="67">
        <v>1517.2735760971054</v>
      </c>
      <c r="G125" s="67">
        <v>148.54426619132502</v>
      </c>
      <c r="H125" s="67">
        <v>21.220609455903574</v>
      </c>
    </row>
    <row r="126" spans="1:8" x14ac:dyDescent="0.2">
      <c r="A126">
        <v>2</v>
      </c>
      <c r="C126" s="69" t="s">
        <v>17</v>
      </c>
      <c r="D126" s="68" t="s">
        <v>55</v>
      </c>
      <c r="E126" s="69" t="s">
        <v>22</v>
      </c>
      <c r="F126" s="67">
        <v>2228.1639928698751</v>
      </c>
      <c r="G126" s="67">
        <v>222.81639928698752</v>
      </c>
      <c r="H126" s="67">
        <v>477.46371275783042</v>
      </c>
    </row>
    <row r="127" spans="1:8" x14ac:dyDescent="0.2">
      <c r="A127">
        <v>2</v>
      </c>
      <c r="C127" s="69" t="s">
        <v>17</v>
      </c>
      <c r="D127" s="69" t="s">
        <v>34</v>
      </c>
      <c r="E127" s="69" t="s">
        <v>22</v>
      </c>
      <c r="F127" s="67">
        <v>827.60376878023942</v>
      </c>
      <c r="G127" s="67">
        <v>106.10304727951787</v>
      </c>
      <c r="H127" s="67">
        <v>63.661828367710719</v>
      </c>
    </row>
    <row r="128" spans="1:8" x14ac:dyDescent="0.2">
      <c r="A128">
        <v>2</v>
      </c>
      <c r="C128" s="69" t="s">
        <v>17</v>
      </c>
      <c r="D128" s="69" t="s">
        <v>55</v>
      </c>
      <c r="E128" s="69" t="s">
        <v>22</v>
      </c>
      <c r="F128" s="67">
        <v>2673.7967914438505</v>
      </c>
      <c r="G128" s="67">
        <v>477.46371275783042</v>
      </c>
      <c r="H128" s="67">
        <v>3724.2169595110772</v>
      </c>
    </row>
    <row r="129" spans="1:8" x14ac:dyDescent="0.2">
      <c r="A129">
        <v>2</v>
      </c>
      <c r="C129" s="69" t="s">
        <v>17</v>
      </c>
      <c r="D129" s="69" t="s">
        <v>34</v>
      </c>
      <c r="E129" s="69" t="s">
        <v>22</v>
      </c>
      <c r="F129" s="67">
        <v>785.16254986843228</v>
      </c>
      <c r="G129" s="67">
        <v>10.610304727951787</v>
      </c>
      <c r="H129" s="67">
        <v>116.71335200746965</v>
      </c>
    </row>
    <row r="130" spans="1:8" x14ac:dyDescent="0.2">
      <c r="A130">
        <v>2</v>
      </c>
      <c r="C130" s="69" t="s">
        <v>18</v>
      </c>
      <c r="D130" s="68" t="s">
        <v>55</v>
      </c>
      <c r="E130" s="69" t="s">
        <v>22</v>
      </c>
      <c r="F130" s="67">
        <v>795.77285459638404</v>
      </c>
      <c r="G130" s="67">
        <v>0</v>
      </c>
      <c r="H130" s="67">
        <v>509.29462694168575</v>
      </c>
    </row>
    <row r="131" spans="1:8" x14ac:dyDescent="0.2">
      <c r="A131">
        <v>2</v>
      </c>
      <c r="C131" s="69" t="s">
        <v>18</v>
      </c>
      <c r="D131" s="69" t="s">
        <v>34</v>
      </c>
      <c r="E131" s="69" t="s">
        <v>22</v>
      </c>
      <c r="F131" s="67">
        <v>413.80188439011971</v>
      </c>
      <c r="G131" s="67">
        <v>0</v>
      </c>
      <c r="H131" s="67">
        <v>63.661828367710719</v>
      </c>
    </row>
    <row r="132" spans="1:8" x14ac:dyDescent="0.2">
      <c r="A132">
        <v>2</v>
      </c>
      <c r="C132" s="69" t="s">
        <v>18</v>
      </c>
      <c r="D132" s="69" t="s">
        <v>55</v>
      </c>
      <c r="E132" s="69" t="s">
        <v>22</v>
      </c>
      <c r="F132" s="67" t="s">
        <v>24</v>
      </c>
      <c r="G132" s="67">
        <v>63.661828367710719</v>
      </c>
      <c r="H132" s="67">
        <v>4742.8062133944486</v>
      </c>
    </row>
    <row r="133" spans="1:8" x14ac:dyDescent="0.2">
      <c r="A133">
        <v>2</v>
      </c>
      <c r="C133" s="69" t="s">
        <v>18</v>
      </c>
      <c r="D133" s="69" t="s">
        <v>34</v>
      </c>
      <c r="E133" s="69" t="s">
        <v>22</v>
      </c>
      <c r="F133" s="67" t="s">
        <v>24</v>
      </c>
      <c r="G133" s="67">
        <v>21.220609455903574</v>
      </c>
      <c r="H133" s="67">
        <v>1071.6407775231305</v>
      </c>
    </row>
    <row r="134" spans="1:8" x14ac:dyDescent="0.2">
      <c r="A134">
        <v>2</v>
      </c>
      <c r="C134" s="69" t="s">
        <v>19</v>
      </c>
      <c r="D134" s="68" t="s">
        <v>55</v>
      </c>
      <c r="E134" s="69" t="s">
        <v>22</v>
      </c>
      <c r="F134" s="67">
        <v>4583.6516424751717</v>
      </c>
      <c r="G134" s="67">
        <v>954.92742551566084</v>
      </c>
      <c r="H134" s="67">
        <v>827.60376878023942</v>
      </c>
    </row>
    <row r="135" spans="1:8" x14ac:dyDescent="0.2">
      <c r="A135">
        <v>2</v>
      </c>
      <c r="C135" s="69" t="s">
        <v>19</v>
      </c>
      <c r="D135" s="69" t="s">
        <v>34</v>
      </c>
      <c r="E135" s="69" t="s">
        <v>22</v>
      </c>
      <c r="F135" s="67">
        <v>1443.001443001443</v>
      </c>
      <c r="G135" s="67">
        <v>63.661828367710719</v>
      </c>
      <c r="H135" s="67">
        <v>95.492742551566081</v>
      </c>
    </row>
    <row r="136" spans="1:8" x14ac:dyDescent="0.2">
      <c r="A136">
        <v>2</v>
      </c>
      <c r="C136" s="69" t="s">
        <v>19</v>
      </c>
      <c r="D136" s="69" t="s">
        <v>55</v>
      </c>
      <c r="E136" s="69" t="s">
        <v>22</v>
      </c>
      <c r="F136" s="67">
        <v>2291.8258212375858</v>
      </c>
      <c r="G136" s="67">
        <v>891.26559714795007</v>
      </c>
      <c r="H136" s="67">
        <v>7798.5739750445637</v>
      </c>
    </row>
    <row r="137" spans="1:8" x14ac:dyDescent="0.2">
      <c r="A137">
        <v>2</v>
      </c>
      <c r="C137" s="69" t="s">
        <v>19</v>
      </c>
      <c r="D137" s="69" t="s">
        <v>34</v>
      </c>
      <c r="E137" s="69" t="s">
        <v>22</v>
      </c>
      <c r="F137" s="67">
        <v>912.4862066038537</v>
      </c>
      <c r="G137" s="67">
        <v>21.220609455903574</v>
      </c>
      <c r="H137" s="67">
        <v>1018.5892538833715</v>
      </c>
    </row>
    <row r="138" spans="1:8" x14ac:dyDescent="0.2">
      <c r="A138">
        <v>2</v>
      </c>
      <c r="C138" s="70" t="s">
        <v>20</v>
      </c>
      <c r="D138" s="68" t="s">
        <v>55</v>
      </c>
      <c r="E138" s="69" t="s">
        <v>22</v>
      </c>
      <c r="F138" s="67">
        <v>445.63279857397504</v>
      </c>
      <c r="G138" s="67">
        <v>1050.420168067227</v>
      </c>
      <c r="H138" s="67">
        <v>923.09651133180546</v>
      </c>
    </row>
    <row r="139" spans="1:8" x14ac:dyDescent="0.2">
      <c r="A139">
        <v>2</v>
      </c>
      <c r="C139" s="70" t="s">
        <v>20</v>
      </c>
      <c r="D139" s="69" t="s">
        <v>34</v>
      </c>
      <c r="E139" s="69" t="s">
        <v>22</v>
      </c>
      <c r="F139" s="67">
        <v>456.24310330192685</v>
      </c>
      <c r="G139" s="67">
        <v>10.610304727951787</v>
      </c>
      <c r="H139" s="67">
        <v>127.32365673542144</v>
      </c>
    </row>
    <row r="140" spans="1:8" x14ac:dyDescent="0.2">
      <c r="A140">
        <v>2</v>
      </c>
      <c r="C140" s="70" t="s">
        <v>20</v>
      </c>
      <c r="D140" s="69" t="s">
        <v>55</v>
      </c>
      <c r="E140" s="69" t="s">
        <v>22</v>
      </c>
      <c r="F140" s="67">
        <v>381.97097020626433</v>
      </c>
      <c r="G140" s="67">
        <v>923.09651133180546</v>
      </c>
      <c r="H140" s="67">
        <v>1114.0819964349375</v>
      </c>
    </row>
    <row r="141" spans="1:8" x14ac:dyDescent="0.2">
      <c r="A141">
        <v>2</v>
      </c>
      <c r="C141" s="70" t="s">
        <v>20</v>
      </c>
      <c r="D141" s="69" t="s">
        <v>34</v>
      </c>
      <c r="E141" s="69" t="s">
        <v>22</v>
      </c>
      <c r="F141" s="67">
        <v>615.3976742212036</v>
      </c>
      <c r="G141" s="67">
        <v>0</v>
      </c>
      <c r="H141" s="67">
        <v>106.10304727951787</v>
      </c>
    </row>
    <row r="142" spans="1:8" x14ac:dyDescent="0.2">
      <c r="A142">
        <v>2</v>
      </c>
      <c r="C142" s="67" t="s">
        <v>18</v>
      </c>
      <c r="D142" s="69" t="s">
        <v>55</v>
      </c>
      <c r="E142" s="67" t="s">
        <v>0</v>
      </c>
      <c r="F142" s="67">
        <v>541.12554112554119</v>
      </c>
      <c r="G142" s="67">
        <v>31.830914183855359</v>
      </c>
      <c r="H142" s="67" t="s">
        <v>24</v>
      </c>
    </row>
    <row r="143" spans="1:8" x14ac:dyDescent="0.2">
      <c r="A143">
        <v>2</v>
      </c>
      <c r="C143" s="67" t="s">
        <v>18</v>
      </c>
      <c r="D143" s="69" t="s">
        <v>34</v>
      </c>
      <c r="E143" s="67" t="s">
        <v>0</v>
      </c>
      <c r="F143" s="67">
        <v>477.46371275783042</v>
      </c>
      <c r="G143" s="67">
        <v>10.610304727951787</v>
      </c>
      <c r="H143" s="67" t="s">
        <v>24</v>
      </c>
    </row>
    <row r="144" spans="1:8" x14ac:dyDescent="0.2">
      <c r="A144">
        <v>2</v>
      </c>
      <c r="C144" s="67" t="s">
        <v>18</v>
      </c>
      <c r="D144" s="69" t="s">
        <v>55</v>
      </c>
      <c r="E144" s="67" t="s">
        <v>22</v>
      </c>
      <c r="F144" s="67" t="s">
        <v>24</v>
      </c>
      <c r="G144" s="67">
        <v>1400.5602240896358</v>
      </c>
      <c r="H144" s="67">
        <v>572.95645530939646</v>
      </c>
    </row>
    <row r="145" spans="1:8" x14ac:dyDescent="0.2">
      <c r="A145">
        <v>2</v>
      </c>
      <c r="C145" s="67" t="s">
        <v>18</v>
      </c>
      <c r="D145" s="69" t="s">
        <v>34</v>
      </c>
      <c r="E145" s="67" t="s">
        <v>22</v>
      </c>
      <c r="F145" s="67" t="s">
        <v>24</v>
      </c>
      <c r="G145" s="67">
        <v>148.54426619132502</v>
      </c>
      <c r="H145" s="67">
        <v>21.220609455903574</v>
      </c>
    </row>
    <row r="146" spans="1:8" x14ac:dyDescent="0.2">
      <c r="A146">
        <v>2</v>
      </c>
      <c r="C146" s="67" t="s">
        <v>19</v>
      </c>
      <c r="D146" s="69" t="s">
        <v>55</v>
      </c>
      <c r="E146" s="67" t="s">
        <v>0</v>
      </c>
      <c r="F146" s="67">
        <v>2864.7822765469823</v>
      </c>
      <c r="G146" s="67">
        <v>3214.9223325693915</v>
      </c>
      <c r="H146" s="67">
        <v>413.80188439011971</v>
      </c>
    </row>
    <row r="147" spans="1:8" x14ac:dyDescent="0.2">
      <c r="A147">
        <v>2</v>
      </c>
      <c r="C147" s="67" t="s">
        <v>19</v>
      </c>
      <c r="D147" s="69" t="s">
        <v>34</v>
      </c>
      <c r="E147" s="67" t="s">
        <v>0</v>
      </c>
      <c r="F147" s="67">
        <v>816.99346405228755</v>
      </c>
      <c r="G147" s="67">
        <v>74.272133095662511</v>
      </c>
      <c r="H147" s="67">
        <v>10.610304727951787</v>
      </c>
    </row>
    <row r="148" spans="1:8" x14ac:dyDescent="0.2">
      <c r="A148">
        <v>2</v>
      </c>
      <c r="C148" s="67" t="s">
        <v>19</v>
      </c>
      <c r="D148" s="69" t="s">
        <v>55</v>
      </c>
      <c r="E148" s="67" t="s">
        <v>22</v>
      </c>
      <c r="F148" s="67">
        <v>2355.4876496052966</v>
      </c>
      <c r="G148" s="67">
        <v>7607.5884899414314</v>
      </c>
      <c r="H148" s="67">
        <v>5252.1008403361348</v>
      </c>
    </row>
    <row r="149" spans="1:8" x14ac:dyDescent="0.2">
      <c r="A149">
        <v>2</v>
      </c>
      <c r="C149" s="67" t="s">
        <v>19</v>
      </c>
      <c r="D149" s="69" t="s">
        <v>34</v>
      </c>
      <c r="E149" s="67" t="s">
        <v>22</v>
      </c>
      <c r="F149" s="67">
        <v>1007.9789491554197</v>
      </c>
      <c r="G149" s="67">
        <v>477.46371275783042</v>
      </c>
      <c r="H149" s="67">
        <v>297.08853238265004</v>
      </c>
    </row>
    <row r="150" spans="1:8" x14ac:dyDescent="0.2">
      <c r="A150">
        <v>2</v>
      </c>
      <c r="C150" s="67" t="s">
        <v>20</v>
      </c>
      <c r="D150" s="69" t="s">
        <v>55</v>
      </c>
      <c r="E150" s="67" t="s">
        <v>0</v>
      </c>
      <c r="F150" s="67">
        <v>1305.0674815380698</v>
      </c>
      <c r="G150" s="67">
        <v>2228.1639928698751</v>
      </c>
      <c r="H150" s="67">
        <v>2673.7967914438505</v>
      </c>
    </row>
    <row r="151" spans="1:8" x14ac:dyDescent="0.2">
      <c r="A151">
        <v>2</v>
      </c>
      <c r="C151" s="67" t="s">
        <v>20</v>
      </c>
      <c r="D151" s="69" t="s">
        <v>34</v>
      </c>
      <c r="E151" s="67" t="s">
        <v>0</v>
      </c>
      <c r="F151" s="67">
        <v>774.55224514048041</v>
      </c>
      <c r="G151" s="67">
        <v>42.441218911807148</v>
      </c>
      <c r="H151" s="67">
        <v>201.59578983108395</v>
      </c>
    </row>
    <row r="152" spans="1:8" x14ac:dyDescent="0.2">
      <c r="A152">
        <v>2</v>
      </c>
      <c r="C152" s="67" t="s">
        <v>20</v>
      </c>
      <c r="D152" s="69" t="s">
        <v>55</v>
      </c>
      <c r="E152" s="67" t="s">
        <v>22</v>
      </c>
      <c r="F152" s="67">
        <v>509.29462694168575</v>
      </c>
      <c r="G152" s="67">
        <v>0</v>
      </c>
      <c r="H152" s="67">
        <v>763.94194041252865</v>
      </c>
    </row>
    <row r="153" spans="1:8" x14ac:dyDescent="0.2">
      <c r="A153">
        <v>2</v>
      </c>
      <c r="C153" s="67" t="s">
        <v>20</v>
      </c>
      <c r="D153" s="69" t="s">
        <v>34</v>
      </c>
      <c r="E153" s="67" t="s">
        <v>22</v>
      </c>
      <c r="F153" s="67">
        <v>318.30914183855361</v>
      </c>
      <c r="G153" s="67">
        <v>0</v>
      </c>
      <c r="H153" s="67">
        <v>159.15457091927681</v>
      </c>
    </row>
    <row r="154" spans="1:8" x14ac:dyDescent="0.2">
      <c r="A154">
        <v>3</v>
      </c>
      <c r="C154" s="68" t="s">
        <v>13</v>
      </c>
      <c r="D154" s="68" t="s">
        <v>55</v>
      </c>
      <c r="E154" s="68" t="s">
        <v>0</v>
      </c>
      <c r="F154" s="67">
        <v>1082.2510822510824</v>
      </c>
      <c r="G154" s="67">
        <v>509.29462694168575</v>
      </c>
      <c r="H154" s="67">
        <v>9421.9505984211864</v>
      </c>
    </row>
    <row r="155" spans="1:8" x14ac:dyDescent="0.2">
      <c r="C155" s="68" t="s">
        <v>13</v>
      </c>
      <c r="D155" s="69" t="s">
        <v>34</v>
      </c>
      <c r="E155" s="68" t="s">
        <v>0</v>
      </c>
      <c r="F155" s="67">
        <v>848.82437823614293</v>
      </c>
      <c r="G155" s="67">
        <v>74.272133095662511</v>
      </c>
      <c r="H155" s="67">
        <v>1347.5087004498769</v>
      </c>
    </row>
    <row r="156" spans="1:8" x14ac:dyDescent="0.2">
      <c r="C156" s="68" t="s">
        <v>13</v>
      </c>
      <c r="D156" s="69" t="s">
        <v>55</v>
      </c>
      <c r="E156" s="68" t="s">
        <v>0</v>
      </c>
      <c r="F156" s="67">
        <v>732.11102622867327</v>
      </c>
      <c r="G156" s="67">
        <v>159.15457091927681</v>
      </c>
      <c r="H156" s="67">
        <v>4519.9898141074609</v>
      </c>
    </row>
    <row r="157" spans="1:8" x14ac:dyDescent="0.2">
      <c r="C157" s="68" t="s">
        <v>13</v>
      </c>
      <c r="D157" s="69" t="s">
        <v>34</v>
      </c>
      <c r="E157" s="68" t="s">
        <v>0</v>
      </c>
      <c r="F157" s="67">
        <v>763.94194041252865</v>
      </c>
      <c r="G157" s="67">
        <v>53.051523639758933</v>
      </c>
      <c r="H157" s="67">
        <v>933.70681605975722</v>
      </c>
    </row>
    <row r="158" spans="1:8" x14ac:dyDescent="0.2">
      <c r="C158" s="69" t="s">
        <v>14</v>
      </c>
      <c r="D158" s="68" t="s">
        <v>55</v>
      </c>
      <c r="E158" s="68" t="s">
        <v>0</v>
      </c>
      <c r="F158" s="67">
        <v>1973.5166793990325</v>
      </c>
      <c r="G158" s="67">
        <v>222.81639928698752</v>
      </c>
      <c r="H158" s="67">
        <v>7034.6320346320344</v>
      </c>
    </row>
    <row r="159" spans="1:8" x14ac:dyDescent="0.2">
      <c r="C159" s="69" t="s">
        <v>14</v>
      </c>
      <c r="D159" s="69" t="s">
        <v>34</v>
      </c>
      <c r="E159" s="68" t="s">
        <v>0</v>
      </c>
      <c r="F159" s="67">
        <v>1135.3026058908413</v>
      </c>
      <c r="G159" s="67">
        <v>212.20609455903573</v>
      </c>
      <c r="H159" s="67">
        <v>1984.1269841269841</v>
      </c>
    </row>
    <row r="160" spans="1:8" x14ac:dyDescent="0.2">
      <c r="C160" s="69" t="s">
        <v>14</v>
      </c>
      <c r="D160" s="69" t="s">
        <v>55</v>
      </c>
      <c r="E160" s="68" t="s">
        <v>0</v>
      </c>
      <c r="F160" s="67">
        <v>954.92742551566084</v>
      </c>
      <c r="G160" s="67">
        <v>63.661828367710719</v>
      </c>
      <c r="H160" s="67">
        <v>923.09651133180546</v>
      </c>
    </row>
    <row r="161" spans="3:8" x14ac:dyDescent="0.2">
      <c r="C161" s="69" t="s">
        <v>14</v>
      </c>
      <c r="D161" s="69" t="s">
        <v>34</v>
      </c>
      <c r="E161" s="68" t="s">
        <v>0</v>
      </c>
      <c r="F161" s="67">
        <v>710.89041677276975</v>
      </c>
      <c r="G161" s="67">
        <v>10.610304727951787</v>
      </c>
      <c r="H161" s="67">
        <v>339.52975129445718</v>
      </c>
    </row>
    <row r="162" spans="3:8" x14ac:dyDescent="0.2">
      <c r="C162" s="69" t="s">
        <v>15</v>
      </c>
      <c r="D162" s="68" t="s">
        <v>55</v>
      </c>
      <c r="E162" s="68" t="s">
        <v>0</v>
      </c>
      <c r="F162" s="67">
        <v>1432.3911382734912</v>
      </c>
      <c r="G162" s="67">
        <v>477.46371275783042</v>
      </c>
      <c r="H162" s="67">
        <v>3883.3715304303541</v>
      </c>
    </row>
    <row r="163" spans="3:8" x14ac:dyDescent="0.2">
      <c r="C163" s="69" t="s">
        <v>15</v>
      </c>
      <c r="D163" s="69" t="s">
        <v>34</v>
      </c>
      <c r="E163" s="68" t="s">
        <v>0</v>
      </c>
      <c r="F163" s="67">
        <v>827.60376878023942</v>
      </c>
      <c r="G163" s="67">
        <v>42.441218911807148</v>
      </c>
      <c r="H163" s="67">
        <v>530.51523639758932</v>
      </c>
    </row>
    <row r="164" spans="3:8" x14ac:dyDescent="0.2">
      <c r="C164" s="69" t="s">
        <v>15</v>
      </c>
      <c r="D164" s="69" t="s">
        <v>55</v>
      </c>
      <c r="E164" s="68" t="s">
        <v>0</v>
      </c>
      <c r="F164" s="67">
        <v>4456.3279857397501</v>
      </c>
      <c r="G164" s="67">
        <v>0</v>
      </c>
      <c r="H164" s="67">
        <v>222.81639928698752</v>
      </c>
    </row>
    <row r="165" spans="3:8" x14ac:dyDescent="0.2">
      <c r="C165" s="69" t="s">
        <v>15</v>
      </c>
      <c r="D165" s="69" t="s">
        <v>34</v>
      </c>
      <c r="E165" s="68" t="s">
        <v>0</v>
      </c>
      <c r="F165" s="67">
        <v>2408.5391732450557</v>
      </c>
      <c r="G165" s="67">
        <v>10.610304727951787</v>
      </c>
      <c r="H165" s="67">
        <v>21.220609455903574</v>
      </c>
    </row>
    <row r="166" spans="3:8" x14ac:dyDescent="0.2">
      <c r="C166" s="69" t="s">
        <v>16</v>
      </c>
      <c r="D166" s="68" t="s">
        <v>55</v>
      </c>
      <c r="E166" s="68" t="s">
        <v>0</v>
      </c>
      <c r="F166" s="67">
        <v>3596.8933027756557</v>
      </c>
      <c r="G166" s="67">
        <v>190.98548510313216</v>
      </c>
      <c r="H166" s="67">
        <v>2641.9658772599951</v>
      </c>
    </row>
    <row r="167" spans="3:8" x14ac:dyDescent="0.2">
      <c r="C167" s="69" t="s">
        <v>16</v>
      </c>
      <c r="D167" s="69" t="s">
        <v>34</v>
      </c>
      <c r="E167" s="68" t="s">
        <v>0</v>
      </c>
      <c r="F167" s="67">
        <v>1729.4796706561413</v>
      </c>
      <c r="G167" s="67">
        <v>21.220609455903574</v>
      </c>
      <c r="H167" s="67">
        <v>180.37518037518038</v>
      </c>
    </row>
    <row r="168" spans="3:8" x14ac:dyDescent="0.2">
      <c r="C168" s="69" t="s">
        <v>16</v>
      </c>
      <c r="D168" s="69" t="s">
        <v>55</v>
      </c>
      <c r="E168" s="68" t="s">
        <v>0</v>
      </c>
      <c r="F168" s="67">
        <v>3978.8642729819203</v>
      </c>
      <c r="G168" s="67">
        <v>31.830914183855359</v>
      </c>
      <c r="H168" s="67">
        <v>541.12554112554119</v>
      </c>
    </row>
    <row r="169" spans="3:8" x14ac:dyDescent="0.2">
      <c r="C169" s="69" t="s">
        <v>16</v>
      </c>
      <c r="D169" s="69" t="s">
        <v>34</v>
      </c>
      <c r="E169" s="68" t="s">
        <v>0</v>
      </c>
      <c r="F169" s="67">
        <v>1612.7663186486716</v>
      </c>
      <c r="G169" s="67">
        <v>0</v>
      </c>
      <c r="H169" s="67">
        <v>445.63279857397504</v>
      </c>
    </row>
    <row r="170" spans="3:8" x14ac:dyDescent="0.2">
      <c r="C170" s="69" t="s">
        <v>17</v>
      </c>
      <c r="D170" s="68" t="s">
        <v>55</v>
      </c>
      <c r="E170" s="68" t="s">
        <v>0</v>
      </c>
      <c r="F170" s="67">
        <v>2291.8258212375858</v>
      </c>
      <c r="G170" s="67">
        <v>381.97097020626433</v>
      </c>
      <c r="H170" s="67">
        <v>3947.0333587980649</v>
      </c>
    </row>
    <row r="171" spans="3:8" x14ac:dyDescent="0.2">
      <c r="C171" s="69" t="s">
        <v>17</v>
      </c>
      <c r="D171" s="69" t="s">
        <v>34</v>
      </c>
      <c r="E171" s="68" t="s">
        <v>0</v>
      </c>
      <c r="F171" s="67">
        <v>1676.4281470163824</v>
      </c>
      <c r="G171" s="67">
        <v>31.830914183855359</v>
      </c>
      <c r="H171" s="67">
        <v>1283.8468720821663</v>
      </c>
    </row>
    <row r="172" spans="3:8" x14ac:dyDescent="0.2">
      <c r="C172" s="69" t="s">
        <v>17</v>
      </c>
      <c r="D172" s="69" t="s">
        <v>55</v>
      </c>
      <c r="E172" s="68" t="s">
        <v>0</v>
      </c>
      <c r="F172" s="67">
        <v>795.77285459638404</v>
      </c>
      <c r="G172" s="67">
        <v>95.492742551566081</v>
      </c>
      <c r="H172" s="67">
        <v>2992.1059332824038</v>
      </c>
    </row>
    <row r="173" spans="3:8" x14ac:dyDescent="0.2">
      <c r="C173" s="69" t="s">
        <v>17</v>
      </c>
      <c r="D173" s="69" t="s">
        <v>34</v>
      </c>
      <c r="E173" s="68" t="s">
        <v>0</v>
      </c>
      <c r="F173" s="67">
        <v>594.17706476530009</v>
      </c>
      <c r="G173" s="67">
        <v>21.220609455903574</v>
      </c>
      <c r="H173" s="67">
        <v>1336.8983957219252</v>
      </c>
    </row>
    <row r="174" spans="3:8" x14ac:dyDescent="0.2">
      <c r="C174" s="69" t="s">
        <v>18</v>
      </c>
      <c r="D174" s="68" t="s">
        <v>55</v>
      </c>
      <c r="E174" s="68" t="s">
        <v>0</v>
      </c>
      <c r="F174" s="67">
        <v>1018.5892538833715</v>
      </c>
      <c r="G174" s="67" t="s">
        <v>24</v>
      </c>
      <c r="H174" s="67">
        <v>190.98548510313216</v>
      </c>
    </row>
    <row r="175" spans="3:8" x14ac:dyDescent="0.2">
      <c r="C175" s="69" t="s">
        <v>18</v>
      </c>
      <c r="D175" s="69" t="s">
        <v>34</v>
      </c>
      <c r="E175" s="68" t="s">
        <v>0</v>
      </c>
      <c r="F175" s="67">
        <v>424.41218911807147</v>
      </c>
      <c r="G175" s="67" t="s">
        <v>24</v>
      </c>
      <c r="H175" s="67">
        <v>21.220609455903574</v>
      </c>
    </row>
    <row r="176" spans="3:8" x14ac:dyDescent="0.2">
      <c r="C176" s="69" t="s">
        <v>18</v>
      </c>
      <c r="D176" s="69" t="s">
        <v>55</v>
      </c>
      <c r="E176" s="68" t="s">
        <v>0</v>
      </c>
      <c r="F176" s="67" t="s">
        <v>24</v>
      </c>
      <c r="G176" s="67">
        <v>604.78736949325184</v>
      </c>
      <c r="H176" s="67">
        <v>445.63279857397504</v>
      </c>
    </row>
    <row r="177" spans="3:8" x14ac:dyDescent="0.2">
      <c r="C177" s="69" t="s">
        <v>18</v>
      </c>
      <c r="D177" s="69" t="s">
        <v>34</v>
      </c>
      <c r="E177" s="68" t="s">
        <v>0</v>
      </c>
      <c r="F177" s="67" t="s">
        <v>24</v>
      </c>
      <c r="G177" s="67">
        <v>10.610304727951787</v>
      </c>
      <c r="H177" s="67">
        <v>286.47822765469823</v>
      </c>
    </row>
    <row r="178" spans="3:8" x14ac:dyDescent="0.2">
      <c r="C178" s="69" t="s">
        <v>19</v>
      </c>
      <c r="D178" s="68" t="s">
        <v>55</v>
      </c>
      <c r="E178" s="68" t="s">
        <v>0</v>
      </c>
      <c r="F178" s="67">
        <v>604.78736949325184</v>
      </c>
      <c r="G178" s="67">
        <v>986.75833969951623</v>
      </c>
      <c r="H178" s="67">
        <v>1973.5166793990325</v>
      </c>
    </row>
    <row r="179" spans="3:8" x14ac:dyDescent="0.2">
      <c r="C179" s="69" t="s">
        <v>19</v>
      </c>
      <c r="D179" s="69" t="s">
        <v>34</v>
      </c>
      <c r="E179" s="68" t="s">
        <v>0</v>
      </c>
      <c r="F179" s="67">
        <v>647.22858840505899</v>
      </c>
      <c r="G179" s="67">
        <v>350.14005602240894</v>
      </c>
      <c r="H179" s="67">
        <v>190.98548510313216</v>
      </c>
    </row>
    <row r="180" spans="3:8" x14ac:dyDescent="0.2">
      <c r="C180" s="69" t="s">
        <v>19</v>
      </c>
      <c r="D180" s="69" t="s">
        <v>55</v>
      </c>
      <c r="E180" s="68" t="s">
        <v>0</v>
      </c>
      <c r="F180" s="67">
        <v>668.44919786096261</v>
      </c>
      <c r="G180" s="67">
        <v>318.30914183855361</v>
      </c>
      <c r="H180" s="67">
        <v>572.95645530939646</v>
      </c>
    </row>
    <row r="181" spans="3:8" x14ac:dyDescent="0.2">
      <c r="C181" s="69" t="s">
        <v>19</v>
      </c>
      <c r="D181" s="69" t="s">
        <v>34</v>
      </c>
      <c r="E181" s="68" t="s">
        <v>0</v>
      </c>
      <c r="F181" s="67">
        <v>615.3976742212036</v>
      </c>
      <c r="G181" s="67">
        <v>31.830914183855359</v>
      </c>
      <c r="H181" s="67">
        <v>392.58127493421614</v>
      </c>
    </row>
    <row r="182" spans="3:8" x14ac:dyDescent="0.2">
      <c r="C182" s="70" t="s">
        <v>20</v>
      </c>
      <c r="D182" s="68" t="s">
        <v>55</v>
      </c>
      <c r="E182" s="68" t="s">
        <v>0</v>
      </c>
      <c r="F182" s="67">
        <v>1305.0674815380698</v>
      </c>
      <c r="G182" s="67">
        <v>159.15457091927681</v>
      </c>
      <c r="H182" s="67">
        <v>636.61828367710723</v>
      </c>
    </row>
    <row r="183" spans="3:8" x14ac:dyDescent="0.2">
      <c r="C183" s="70" t="s">
        <v>20</v>
      </c>
      <c r="D183" s="69" t="s">
        <v>34</v>
      </c>
      <c r="E183" s="68" t="s">
        <v>0</v>
      </c>
      <c r="F183" s="67">
        <v>954.92742551566084</v>
      </c>
      <c r="G183" s="67">
        <v>148.54426619132502</v>
      </c>
      <c r="H183" s="67">
        <v>169.76487564722859</v>
      </c>
    </row>
    <row r="184" spans="3:8" x14ac:dyDescent="0.2">
      <c r="C184" s="70" t="s">
        <v>20</v>
      </c>
      <c r="D184" s="69" t="s">
        <v>55</v>
      </c>
      <c r="E184" s="68" t="s">
        <v>0</v>
      </c>
      <c r="F184" s="67">
        <v>3374.0769034886684</v>
      </c>
      <c r="G184" s="67">
        <v>95.492742551566081</v>
      </c>
      <c r="H184" s="67" t="s">
        <v>24</v>
      </c>
    </row>
    <row r="185" spans="3:8" x14ac:dyDescent="0.2">
      <c r="C185" s="70" t="s">
        <v>20</v>
      </c>
      <c r="D185" s="69" t="s">
        <v>34</v>
      </c>
      <c r="E185" s="68" t="s">
        <v>0</v>
      </c>
      <c r="F185" s="67">
        <v>1453.6117477293949</v>
      </c>
      <c r="G185" s="67">
        <v>21.220609455903574</v>
      </c>
      <c r="H185" s="67" t="s">
        <v>24</v>
      </c>
    </row>
    <row r="186" spans="3:8" x14ac:dyDescent="0.2">
      <c r="C186" s="68" t="s">
        <v>13</v>
      </c>
      <c r="D186" s="68" t="s">
        <v>55</v>
      </c>
      <c r="E186" s="69" t="s">
        <v>22</v>
      </c>
      <c r="F186" s="67">
        <v>1464.2220524573465</v>
      </c>
      <c r="G186" s="67">
        <v>159.15457091927681</v>
      </c>
      <c r="H186" s="67">
        <v>254.64731347084287</v>
      </c>
    </row>
    <row r="187" spans="3:8" x14ac:dyDescent="0.2">
      <c r="C187" s="68" t="s">
        <v>13</v>
      </c>
      <c r="D187" s="69" t="s">
        <v>34</v>
      </c>
      <c r="E187" s="69" t="s">
        <v>22</v>
      </c>
      <c r="F187" s="67">
        <v>923.09651133180546</v>
      </c>
      <c r="G187" s="67">
        <v>42.441218911807148</v>
      </c>
      <c r="H187" s="67">
        <v>53.051523639758933</v>
      </c>
    </row>
    <row r="188" spans="3:8" x14ac:dyDescent="0.2">
      <c r="C188" s="68" t="s">
        <v>13</v>
      </c>
      <c r="D188" s="69" t="s">
        <v>55</v>
      </c>
      <c r="E188" s="69" t="s">
        <v>22</v>
      </c>
      <c r="F188" s="67">
        <v>1336.8983957219252</v>
      </c>
      <c r="G188" s="67">
        <v>445.63279857397504</v>
      </c>
      <c r="H188" s="67">
        <v>4138.0188439011972</v>
      </c>
    </row>
    <row r="189" spans="3:8" x14ac:dyDescent="0.2">
      <c r="C189" s="68" t="s">
        <v>13</v>
      </c>
      <c r="D189" s="69" t="s">
        <v>34</v>
      </c>
      <c r="E189" s="69" t="s">
        <v>22</v>
      </c>
      <c r="F189" s="67">
        <v>1209.5747389865037</v>
      </c>
      <c r="G189" s="67">
        <v>21.220609455903574</v>
      </c>
      <c r="H189" s="67">
        <v>265.25761819879466</v>
      </c>
    </row>
    <row r="190" spans="3:8" x14ac:dyDescent="0.2">
      <c r="C190" s="69" t="s">
        <v>14</v>
      </c>
      <c r="D190" s="68" t="s">
        <v>55</v>
      </c>
      <c r="E190" s="69" t="s">
        <v>22</v>
      </c>
      <c r="F190" s="67">
        <v>891.26559714795007</v>
      </c>
      <c r="G190" s="67">
        <v>0</v>
      </c>
      <c r="H190" s="67">
        <v>3501.4005602240895</v>
      </c>
    </row>
    <row r="191" spans="3:8" x14ac:dyDescent="0.2">
      <c r="C191" s="69" t="s">
        <v>14</v>
      </c>
      <c r="D191" s="69" t="s">
        <v>34</v>
      </c>
      <c r="E191" s="69" t="s">
        <v>22</v>
      </c>
      <c r="F191" s="67">
        <v>976.14803497156436</v>
      </c>
      <c r="G191" s="67">
        <v>10.610304727951787</v>
      </c>
      <c r="H191" s="67">
        <v>137.93396146337324</v>
      </c>
    </row>
    <row r="192" spans="3:8" x14ac:dyDescent="0.2">
      <c r="C192" s="69" t="s">
        <v>14</v>
      </c>
      <c r="D192" s="69" t="s">
        <v>55</v>
      </c>
      <c r="E192" s="69" t="s">
        <v>22</v>
      </c>
      <c r="F192" s="67">
        <v>3246.7532467532469</v>
      </c>
      <c r="G192" s="67">
        <v>891.26559714795007</v>
      </c>
      <c r="H192" s="67">
        <v>381.97097020626433</v>
      </c>
    </row>
    <row r="193" spans="3:8" x14ac:dyDescent="0.2">
      <c r="C193" s="69" t="s">
        <v>14</v>
      </c>
      <c r="D193" s="69" t="s">
        <v>34</v>
      </c>
      <c r="E193" s="69" t="s">
        <v>22</v>
      </c>
      <c r="F193" s="67">
        <v>1103.4716917069859</v>
      </c>
      <c r="G193" s="67">
        <v>10.610304727951787</v>
      </c>
      <c r="H193" s="67">
        <v>159.15457091927681</v>
      </c>
    </row>
    <row r="194" spans="3:8" x14ac:dyDescent="0.2">
      <c r="C194" s="69" t="s">
        <v>15</v>
      </c>
      <c r="D194" s="68" t="s">
        <v>55</v>
      </c>
      <c r="E194" s="69" t="s">
        <v>22</v>
      </c>
      <c r="F194" s="67">
        <v>4456.3279857397501</v>
      </c>
      <c r="G194" s="67">
        <v>0</v>
      </c>
      <c r="H194" s="67">
        <v>2037.178507766743</v>
      </c>
    </row>
    <row r="195" spans="3:8" x14ac:dyDescent="0.2">
      <c r="C195" s="69" t="s">
        <v>15</v>
      </c>
      <c r="D195" s="69" t="s">
        <v>34</v>
      </c>
      <c r="E195" s="69" t="s">
        <v>22</v>
      </c>
      <c r="F195" s="67">
        <v>2387.318563789152</v>
      </c>
      <c r="G195" s="67">
        <v>0</v>
      </c>
      <c r="H195" s="67">
        <v>286.47822765469823</v>
      </c>
    </row>
    <row r="196" spans="3:8" x14ac:dyDescent="0.2">
      <c r="C196" s="69" t="s">
        <v>15</v>
      </c>
      <c r="D196" s="69" t="s">
        <v>55</v>
      </c>
      <c r="E196" s="69" t="s">
        <v>22</v>
      </c>
      <c r="F196" s="67">
        <v>3055.7677616501146</v>
      </c>
      <c r="G196" s="67">
        <v>318.30914183855361</v>
      </c>
      <c r="H196" s="67">
        <v>1145.9129106187929</v>
      </c>
    </row>
    <row r="197" spans="3:8" x14ac:dyDescent="0.2">
      <c r="C197" s="69" t="s">
        <v>15</v>
      </c>
      <c r="D197" s="69" t="s">
        <v>34</v>
      </c>
      <c r="E197" s="69" t="s">
        <v>22</v>
      </c>
      <c r="F197" s="67">
        <v>1803.7518037518039</v>
      </c>
      <c r="G197" s="67">
        <v>0</v>
      </c>
      <c r="H197" s="67">
        <v>169.76487564722859</v>
      </c>
    </row>
    <row r="198" spans="3:8" x14ac:dyDescent="0.2">
      <c r="C198" s="69" t="s">
        <v>16</v>
      </c>
      <c r="D198" s="68" t="s">
        <v>55</v>
      </c>
      <c r="E198" s="69" t="s">
        <v>22</v>
      </c>
      <c r="F198" s="67">
        <v>1814.3621084797555</v>
      </c>
      <c r="G198" s="67">
        <v>127.32365673542144</v>
      </c>
      <c r="H198" s="67">
        <v>190.98548510313216</v>
      </c>
    </row>
    <row r="199" spans="3:8" x14ac:dyDescent="0.2">
      <c r="C199" s="69" t="s">
        <v>16</v>
      </c>
      <c r="D199" s="69" t="s">
        <v>34</v>
      </c>
      <c r="E199" s="69" t="s">
        <v>22</v>
      </c>
      <c r="F199" s="67">
        <v>965.5377302436126</v>
      </c>
      <c r="G199" s="67">
        <v>0</v>
      </c>
      <c r="H199" s="67">
        <v>42.441218911807148</v>
      </c>
    </row>
    <row r="200" spans="3:8" x14ac:dyDescent="0.2">
      <c r="C200" s="69" t="s">
        <v>16</v>
      </c>
      <c r="D200" s="69" t="s">
        <v>55</v>
      </c>
      <c r="E200" s="69" t="s">
        <v>22</v>
      </c>
      <c r="F200" s="67">
        <v>1750.7002801120448</v>
      </c>
      <c r="G200" s="67">
        <v>222.81639928698752</v>
      </c>
      <c r="H200" s="67">
        <v>2673.7967914438505</v>
      </c>
    </row>
    <row r="201" spans="3:8" x14ac:dyDescent="0.2">
      <c r="C201" s="69" t="s">
        <v>16</v>
      </c>
      <c r="D201" s="69" t="s">
        <v>34</v>
      </c>
      <c r="E201" s="69" t="s">
        <v>22</v>
      </c>
      <c r="F201" s="67">
        <v>710.89041677276975</v>
      </c>
      <c r="G201" s="67">
        <v>10.610304727951787</v>
      </c>
      <c r="H201" s="67">
        <v>201.59578983108395</v>
      </c>
    </row>
    <row r="202" spans="3:8" x14ac:dyDescent="0.2">
      <c r="C202" s="69" t="s">
        <v>17</v>
      </c>
      <c r="D202" s="68" t="s">
        <v>55</v>
      </c>
      <c r="E202" s="69" t="s">
        <v>22</v>
      </c>
      <c r="F202" s="67">
        <v>2769.2895339954166</v>
      </c>
      <c r="G202" s="67">
        <v>190.98548510313216</v>
      </c>
      <c r="H202" s="67">
        <v>668.44919786096261</v>
      </c>
    </row>
    <row r="203" spans="3:8" x14ac:dyDescent="0.2">
      <c r="C203" s="69" t="s">
        <v>17</v>
      </c>
      <c r="D203" s="69" t="s">
        <v>34</v>
      </c>
      <c r="E203" s="69" t="s">
        <v>22</v>
      </c>
      <c r="F203" s="67">
        <v>986.75833969951623</v>
      </c>
      <c r="G203" s="67">
        <v>21.220609455903574</v>
      </c>
      <c r="H203" s="67">
        <v>53.051523639758933</v>
      </c>
    </row>
    <row r="204" spans="3:8" x14ac:dyDescent="0.2">
      <c r="C204" s="69" t="s">
        <v>17</v>
      </c>
      <c r="D204" s="69" t="s">
        <v>55</v>
      </c>
      <c r="E204" s="69" t="s">
        <v>22</v>
      </c>
      <c r="F204" s="67">
        <v>477.46371275783042</v>
      </c>
      <c r="G204" s="67">
        <v>254.64731347084287</v>
      </c>
      <c r="H204" s="67">
        <v>127.32365673542144</v>
      </c>
    </row>
    <row r="205" spans="3:8" x14ac:dyDescent="0.2">
      <c r="C205" s="69" t="s">
        <v>17</v>
      </c>
      <c r="D205" s="69" t="s">
        <v>34</v>
      </c>
      <c r="E205" s="69" t="s">
        <v>22</v>
      </c>
      <c r="F205" s="67">
        <v>456.24310330192685</v>
      </c>
      <c r="G205" s="67">
        <v>10.610304727951787</v>
      </c>
      <c r="H205" s="67">
        <v>0</v>
      </c>
    </row>
    <row r="206" spans="3:8" x14ac:dyDescent="0.2">
      <c r="C206" s="69" t="s">
        <v>18</v>
      </c>
      <c r="D206" s="68" t="s">
        <v>55</v>
      </c>
      <c r="E206" s="69" t="s">
        <v>22</v>
      </c>
      <c r="F206" s="67">
        <v>1591.5457091927681</v>
      </c>
      <c r="G206" s="67">
        <v>127.32365673542144</v>
      </c>
      <c r="H206" s="67">
        <v>63.661828367710719</v>
      </c>
    </row>
    <row r="207" spans="3:8" x14ac:dyDescent="0.2">
      <c r="C207" s="69" t="s">
        <v>18</v>
      </c>
      <c r="D207" s="69" t="s">
        <v>34</v>
      </c>
      <c r="E207" s="69" t="s">
        <v>22</v>
      </c>
      <c r="F207" s="67">
        <v>785.16254986843228</v>
      </c>
      <c r="G207" s="67">
        <v>21.220609455903574</v>
      </c>
      <c r="H207" s="67">
        <v>74.272133095662511</v>
      </c>
    </row>
    <row r="208" spans="3:8" x14ac:dyDescent="0.2">
      <c r="C208" s="69" t="s">
        <v>18</v>
      </c>
      <c r="D208" s="69" t="s">
        <v>55</v>
      </c>
      <c r="E208" s="69" t="s">
        <v>22</v>
      </c>
      <c r="F208" s="67">
        <v>1973.5166793990325</v>
      </c>
      <c r="G208" s="67" t="s">
        <v>24</v>
      </c>
      <c r="H208" s="67">
        <v>63.661828367710719</v>
      </c>
    </row>
    <row r="209" spans="3:8" x14ac:dyDescent="0.2">
      <c r="C209" s="69" t="s">
        <v>18</v>
      </c>
      <c r="D209" s="69" t="s">
        <v>34</v>
      </c>
      <c r="E209" s="69" t="s">
        <v>22</v>
      </c>
      <c r="F209" s="67">
        <v>626.00797894915547</v>
      </c>
      <c r="G209" s="67" t="s">
        <v>24</v>
      </c>
      <c r="H209" s="67">
        <v>31.830914183855359</v>
      </c>
    </row>
    <row r="210" spans="3:8" x14ac:dyDescent="0.2">
      <c r="C210" s="69" t="s">
        <v>19</v>
      </c>
      <c r="D210" s="68" t="s">
        <v>55</v>
      </c>
      <c r="E210" s="69" t="s">
        <v>22</v>
      </c>
      <c r="F210" s="67">
        <v>3533.2314744079449</v>
      </c>
      <c r="G210" s="67">
        <v>159.15457091927681</v>
      </c>
      <c r="H210" s="67">
        <v>986.75833969951623</v>
      </c>
    </row>
    <row r="211" spans="3:8" x14ac:dyDescent="0.2">
      <c r="C211" s="69" t="s">
        <v>19</v>
      </c>
      <c r="D211" s="69" t="s">
        <v>34</v>
      </c>
      <c r="E211" s="69" t="s">
        <v>22</v>
      </c>
      <c r="F211" s="67">
        <v>1761.3105848399966</v>
      </c>
      <c r="G211" s="67">
        <v>21.220609455903574</v>
      </c>
      <c r="H211" s="67">
        <v>212.20609455903573</v>
      </c>
    </row>
    <row r="212" spans="3:8" x14ac:dyDescent="0.2">
      <c r="C212" s="69" t="s">
        <v>19</v>
      </c>
      <c r="D212" s="69" t="s">
        <v>55</v>
      </c>
      <c r="E212" s="69" t="s">
        <v>22</v>
      </c>
      <c r="F212" s="67">
        <v>1909.8548510313217</v>
      </c>
      <c r="G212" s="67">
        <v>190.98548510313216</v>
      </c>
      <c r="H212" s="67">
        <v>4233.5115864527634</v>
      </c>
    </row>
    <row r="213" spans="3:8" x14ac:dyDescent="0.2">
      <c r="C213" s="69" t="s">
        <v>19</v>
      </c>
      <c r="D213" s="69" t="s">
        <v>34</v>
      </c>
      <c r="E213" s="69" t="s">
        <v>22</v>
      </c>
      <c r="F213" s="67">
        <v>1082.2510822510824</v>
      </c>
      <c r="G213" s="67">
        <v>53.051523639758933</v>
      </c>
      <c r="H213" s="67">
        <v>371.36066547831257</v>
      </c>
    </row>
    <row r="214" spans="3:8" x14ac:dyDescent="0.2">
      <c r="C214" s="70" t="s">
        <v>20</v>
      </c>
      <c r="D214" s="68" t="s">
        <v>55</v>
      </c>
      <c r="E214" s="69" t="s">
        <v>22</v>
      </c>
      <c r="F214" s="67">
        <v>986.75833969951623</v>
      </c>
      <c r="G214" s="67">
        <v>445.63279857397504</v>
      </c>
      <c r="H214" s="67">
        <v>127.32365673542144</v>
      </c>
    </row>
    <row r="215" spans="3:8" x14ac:dyDescent="0.2">
      <c r="C215" s="70" t="s">
        <v>20</v>
      </c>
      <c r="D215" s="69" t="s">
        <v>34</v>
      </c>
      <c r="E215" s="69" t="s">
        <v>22</v>
      </c>
      <c r="F215" s="67">
        <v>753.3316356845769</v>
      </c>
      <c r="G215" s="67">
        <v>275.86792292674647</v>
      </c>
      <c r="H215" s="67">
        <v>31.830914183855359</v>
      </c>
    </row>
    <row r="216" spans="3:8" x14ac:dyDescent="0.2">
      <c r="C216" s="70" t="s">
        <v>20</v>
      </c>
      <c r="D216" s="69" t="s">
        <v>55</v>
      </c>
      <c r="E216" s="69" t="s">
        <v>22</v>
      </c>
      <c r="F216" s="67">
        <v>1496.0529666412019</v>
      </c>
      <c r="G216" s="67">
        <v>1050.420168067227</v>
      </c>
      <c r="H216" s="67">
        <v>4201.680672268908</v>
      </c>
    </row>
    <row r="217" spans="3:8" x14ac:dyDescent="0.2">
      <c r="C217" s="70" t="s">
        <v>20</v>
      </c>
      <c r="D217" s="69" t="s">
        <v>34</v>
      </c>
      <c r="E217" s="69" t="s">
        <v>22</v>
      </c>
      <c r="F217" s="67">
        <v>1283.8468720821663</v>
      </c>
      <c r="G217" s="67">
        <v>31.830914183855359</v>
      </c>
      <c r="H217" s="67">
        <v>1358.1190051778287</v>
      </c>
    </row>
    <row r="218" spans="3:8" x14ac:dyDescent="0.2">
      <c r="C218" s="67" t="s">
        <v>18</v>
      </c>
      <c r="D218" s="69" t="s">
        <v>55</v>
      </c>
      <c r="E218" s="67" t="s">
        <v>0</v>
      </c>
      <c r="F218" s="67">
        <v>1018.5892538833715</v>
      </c>
      <c r="G218" s="67" t="s">
        <v>24</v>
      </c>
      <c r="H218" s="67">
        <v>827.60376878023942</v>
      </c>
    </row>
    <row r="219" spans="3:8" x14ac:dyDescent="0.2">
      <c r="C219" s="67" t="s">
        <v>18</v>
      </c>
      <c r="D219" s="69" t="s">
        <v>34</v>
      </c>
      <c r="E219" s="67" t="s">
        <v>0</v>
      </c>
      <c r="F219" s="67">
        <v>1018.5892538833715</v>
      </c>
      <c r="G219" s="67" t="s">
        <v>24</v>
      </c>
      <c r="H219" s="67">
        <v>74.272133095662511</v>
      </c>
    </row>
    <row r="220" spans="3:8" x14ac:dyDescent="0.2">
      <c r="C220" s="67" t="s">
        <v>18</v>
      </c>
      <c r="D220" s="69" t="s">
        <v>55</v>
      </c>
      <c r="E220" s="67" t="s">
        <v>22</v>
      </c>
      <c r="F220" s="67">
        <v>636.61828367710723</v>
      </c>
      <c r="G220" s="67">
        <v>222.81639928698752</v>
      </c>
      <c r="H220" s="67">
        <v>509.29462694168575</v>
      </c>
    </row>
    <row r="221" spans="3:8" x14ac:dyDescent="0.2">
      <c r="C221" s="67" t="s">
        <v>18</v>
      </c>
      <c r="D221" s="69" t="s">
        <v>34</v>
      </c>
      <c r="E221" s="67" t="s">
        <v>22</v>
      </c>
      <c r="F221" s="67">
        <v>519.90493166963756</v>
      </c>
      <c r="G221" s="67">
        <v>31.830914183855359</v>
      </c>
      <c r="H221" s="67">
        <v>159.15457091927681</v>
      </c>
    </row>
    <row r="222" spans="3:8" x14ac:dyDescent="0.2">
      <c r="C222" s="67" t="s">
        <v>19</v>
      </c>
      <c r="D222" s="69" t="s">
        <v>55</v>
      </c>
      <c r="E222" s="67" t="s">
        <v>0</v>
      </c>
      <c r="F222" s="67">
        <v>1782.5311942959001</v>
      </c>
      <c r="G222" s="67" t="s">
        <v>24</v>
      </c>
      <c r="H222" s="67" t="s">
        <v>24</v>
      </c>
    </row>
    <row r="223" spans="3:8" x14ac:dyDescent="0.2">
      <c r="C223" s="67" t="s">
        <v>19</v>
      </c>
      <c r="D223" s="69" t="s">
        <v>34</v>
      </c>
      <c r="E223" s="67" t="s">
        <v>0</v>
      </c>
      <c r="F223" s="67">
        <v>509.29462694168575</v>
      </c>
      <c r="G223" s="67" t="s">
        <v>24</v>
      </c>
      <c r="H223" s="67" t="s">
        <v>24</v>
      </c>
    </row>
    <row r="224" spans="3:8" x14ac:dyDescent="0.2">
      <c r="C224" s="67" t="s">
        <v>19</v>
      </c>
      <c r="D224" s="69" t="s">
        <v>55</v>
      </c>
      <c r="E224" s="67" t="s">
        <v>22</v>
      </c>
      <c r="F224" s="67">
        <v>3692.3860453272218</v>
      </c>
      <c r="G224" s="67">
        <v>31.830914183855359</v>
      </c>
      <c r="H224" s="67" t="s">
        <v>24</v>
      </c>
    </row>
    <row r="225" spans="3:8" x14ac:dyDescent="0.2">
      <c r="C225" s="67" t="s">
        <v>19</v>
      </c>
      <c r="D225" s="69" t="s">
        <v>34</v>
      </c>
      <c r="E225" s="67" t="s">
        <v>22</v>
      </c>
      <c r="F225" s="67">
        <v>1729.4796706561413</v>
      </c>
      <c r="G225" s="67">
        <v>21.220609455903574</v>
      </c>
      <c r="H225" s="67" t="s">
        <v>24</v>
      </c>
    </row>
    <row r="226" spans="3:8" x14ac:dyDescent="0.2">
      <c r="C226" s="67" t="s">
        <v>20</v>
      </c>
      <c r="D226" s="69" t="s">
        <v>55</v>
      </c>
      <c r="E226" s="67" t="s">
        <v>0</v>
      </c>
      <c r="F226" s="67">
        <v>6238.8591800356508</v>
      </c>
      <c r="G226" s="67" t="s">
        <v>24</v>
      </c>
      <c r="H226" s="67">
        <v>8785.3323147440788</v>
      </c>
    </row>
    <row r="227" spans="3:8" x14ac:dyDescent="0.2">
      <c r="C227" s="67" t="s">
        <v>20</v>
      </c>
      <c r="D227" s="69" t="s">
        <v>34</v>
      </c>
      <c r="E227" s="67" t="s">
        <v>0</v>
      </c>
      <c r="F227" s="67">
        <v>2557.0834394363806</v>
      </c>
      <c r="G227" s="67" t="s">
        <v>24</v>
      </c>
      <c r="H227" s="67">
        <v>2344.877344877345</v>
      </c>
    </row>
    <row r="228" spans="3:8" x14ac:dyDescent="0.2">
      <c r="C228" s="67" t="s">
        <v>20</v>
      </c>
      <c r="D228" s="69" t="s">
        <v>55</v>
      </c>
      <c r="E228" s="67" t="s">
        <v>22</v>
      </c>
      <c r="F228" s="67">
        <v>4647.3134708428825</v>
      </c>
      <c r="G228" s="67">
        <v>254.64731347084287</v>
      </c>
      <c r="H228" s="67" t="s">
        <v>24</v>
      </c>
    </row>
    <row r="229" spans="3:8" x14ac:dyDescent="0.2">
      <c r="C229" s="67" t="s">
        <v>20</v>
      </c>
      <c r="D229" s="69" t="s">
        <v>34</v>
      </c>
      <c r="E229" s="67" t="s">
        <v>22</v>
      </c>
      <c r="F229" s="67">
        <v>2588.9143536202359</v>
      </c>
      <c r="H229" s="67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95B6-EB7D-9D44-85D4-B4D818283350}">
  <dimension ref="A1:Q39"/>
  <sheetViews>
    <sheetView topLeftCell="B1" zoomScale="90" zoomScaleNormal="90" workbookViewId="0">
      <selection activeCell="L27" sqref="L27:M29"/>
    </sheetView>
  </sheetViews>
  <sheetFormatPr baseColWidth="10" defaultColWidth="11" defaultRowHeight="16" x14ac:dyDescent="0.2"/>
  <sheetData>
    <row r="1" spans="1:17" x14ac:dyDescent="0.2">
      <c r="A1" s="3" t="s">
        <v>0</v>
      </c>
      <c r="B1" s="3" t="s">
        <v>1</v>
      </c>
      <c r="C1" s="5" t="s">
        <v>2</v>
      </c>
      <c r="D1" s="4" t="s">
        <v>3</v>
      </c>
      <c r="E1" s="16" t="s">
        <v>4</v>
      </c>
      <c r="G1" s="3" t="s">
        <v>0</v>
      </c>
      <c r="H1" s="3" t="s">
        <v>5</v>
      </c>
      <c r="I1" s="5" t="s">
        <v>6</v>
      </c>
      <c r="J1" s="4" t="s">
        <v>7</v>
      </c>
      <c r="K1" s="16" t="s">
        <v>8</v>
      </c>
      <c r="M1" s="3" t="s">
        <v>0</v>
      </c>
      <c r="N1" s="3" t="s">
        <v>9</v>
      </c>
      <c r="O1" s="5" t="s">
        <v>10</v>
      </c>
      <c r="P1" s="4" t="s">
        <v>11</v>
      </c>
      <c r="Q1" s="16" t="s">
        <v>12</v>
      </c>
    </row>
    <row r="2" spans="1:17" x14ac:dyDescent="0.2">
      <c r="A2" s="3" t="s">
        <v>13</v>
      </c>
      <c r="B2" s="13">
        <f>109/B25</f>
        <v>3469.5696460402341</v>
      </c>
      <c r="C2" s="12">
        <f>77/B26</f>
        <v>816.99346405228755</v>
      </c>
      <c r="D2" s="47">
        <f>251/B25</f>
        <v>7989.559460147696</v>
      </c>
      <c r="E2" s="48">
        <f>155/B26</f>
        <v>1644.597232832527</v>
      </c>
      <c r="F2" s="2"/>
      <c r="G2" s="3" t="s">
        <v>13</v>
      </c>
      <c r="H2" s="13">
        <f>150/B25</f>
        <v>4774.637127578304</v>
      </c>
      <c r="I2" s="12">
        <f>101/B26</f>
        <v>1071.6407775231305</v>
      </c>
      <c r="J2" s="55">
        <f>153/B25</f>
        <v>4870.1298701298701</v>
      </c>
      <c r="K2" s="56">
        <f>24/B26</f>
        <v>254.64731347084287</v>
      </c>
      <c r="M2" s="3" t="s">
        <v>13</v>
      </c>
      <c r="N2" s="47">
        <f>296/B25</f>
        <v>9421.9505984211864</v>
      </c>
      <c r="O2" s="48">
        <f>127/B26</f>
        <v>1347.5087004498769</v>
      </c>
      <c r="P2" s="11">
        <f>142/B25</f>
        <v>4519.9898141074609</v>
      </c>
      <c r="Q2" s="12">
        <f>88/B26</f>
        <v>933.70681605975722</v>
      </c>
    </row>
    <row r="3" spans="1:17" x14ac:dyDescent="0.2">
      <c r="A3" s="6" t="s">
        <v>14</v>
      </c>
      <c r="B3" s="14">
        <f>94/B25</f>
        <v>2992.1059332824038</v>
      </c>
      <c r="C3" s="7">
        <f>22/B26</f>
        <v>233.4267040149393</v>
      </c>
      <c r="D3" s="49">
        <f>97/B25</f>
        <v>3087.59867583397</v>
      </c>
      <c r="E3" s="50">
        <f>59/B26</f>
        <v>626.00797894915547</v>
      </c>
      <c r="F3" s="2"/>
      <c r="G3" s="6" t="s">
        <v>14</v>
      </c>
      <c r="H3" s="14">
        <f>109/B25</f>
        <v>3469.5696460402341</v>
      </c>
      <c r="I3" s="7">
        <f>23/B26</f>
        <v>244.03700874289109</v>
      </c>
      <c r="J3" s="53">
        <f>242/B25</f>
        <v>7703.0812324929975</v>
      </c>
      <c r="K3" s="54">
        <f>121/B26</f>
        <v>1283.8468720821663</v>
      </c>
      <c r="M3" s="6" t="s">
        <v>14</v>
      </c>
      <c r="N3" s="53">
        <f>221/B25</f>
        <v>7034.6320346320344</v>
      </c>
      <c r="O3" s="54">
        <f>187/B26</f>
        <v>1984.1269841269841</v>
      </c>
      <c r="P3" s="2">
        <f>29/B25</f>
        <v>923.09651133180546</v>
      </c>
      <c r="Q3" s="7">
        <f>32/B26</f>
        <v>339.52975129445718</v>
      </c>
    </row>
    <row r="4" spans="1:17" x14ac:dyDescent="0.2">
      <c r="A4" s="6" t="s">
        <v>15</v>
      </c>
      <c r="B4" s="14">
        <f>20/B25</f>
        <v>636.61828367710723</v>
      </c>
      <c r="C4" s="7">
        <f>5/B26</f>
        <v>53.051523639758933</v>
      </c>
      <c r="D4" s="49">
        <f>119/B25</f>
        <v>3787.878787878788</v>
      </c>
      <c r="E4" s="50">
        <f>43/B26</f>
        <v>456.24310330192685</v>
      </c>
      <c r="F4" s="2"/>
      <c r="G4" s="6" t="s">
        <v>15</v>
      </c>
      <c r="H4" s="14">
        <f>105/B25</f>
        <v>3342.2459893048131</v>
      </c>
      <c r="I4" s="7">
        <f>47/B26</f>
        <v>498.68432221373399</v>
      </c>
      <c r="J4" s="53">
        <f>74/B25</f>
        <v>2355.4876496052966</v>
      </c>
      <c r="K4" s="54">
        <f>60/B26</f>
        <v>636.61828367710723</v>
      </c>
      <c r="M4" s="6" t="s">
        <v>15</v>
      </c>
      <c r="N4" s="53">
        <f>122/B25</f>
        <v>3883.3715304303541</v>
      </c>
      <c r="O4" s="54">
        <f>50/B26</f>
        <v>530.51523639758932</v>
      </c>
      <c r="P4" s="2">
        <f>7/B25</f>
        <v>222.81639928698752</v>
      </c>
      <c r="Q4" s="7">
        <f>2/B26</f>
        <v>21.220609455903574</v>
      </c>
    </row>
    <row r="5" spans="1:17" x14ac:dyDescent="0.2">
      <c r="A5" s="6" t="s">
        <v>16</v>
      </c>
      <c r="B5" s="14">
        <f>93/B25</f>
        <v>2960.2750190985485</v>
      </c>
      <c r="C5" s="7">
        <f>48/B26</f>
        <v>509.29462694168575</v>
      </c>
      <c r="D5" s="49">
        <f>115/B25</f>
        <v>3660.5551311433665</v>
      </c>
      <c r="E5" s="50">
        <f>41/B26</f>
        <v>435.02249384602328</v>
      </c>
      <c r="F5" s="2"/>
      <c r="G5" s="6" t="s">
        <v>16</v>
      </c>
      <c r="H5" s="14">
        <f>69/B25</f>
        <v>2196.3330786860197</v>
      </c>
      <c r="I5" s="7">
        <f>10/B26</f>
        <v>106.10304727951787</v>
      </c>
      <c r="J5" s="53">
        <f>2/B25</f>
        <v>63.661828367710719</v>
      </c>
      <c r="K5" s="54">
        <f>0/B26</f>
        <v>0</v>
      </c>
      <c r="M5" s="6" t="s">
        <v>16</v>
      </c>
      <c r="N5" s="53">
        <f>83/B25</f>
        <v>2641.9658772599951</v>
      </c>
      <c r="O5" s="54">
        <f>17/B26</f>
        <v>180.37518037518038</v>
      </c>
      <c r="P5" s="2">
        <f>17/B25</f>
        <v>541.12554112554119</v>
      </c>
      <c r="Q5" s="7">
        <f>42/B26</f>
        <v>445.63279857397504</v>
      </c>
    </row>
    <row r="6" spans="1:17" x14ac:dyDescent="0.2">
      <c r="A6" s="6" t="s">
        <v>17</v>
      </c>
      <c r="B6" s="14">
        <f>8/B25</f>
        <v>254.64731347084287</v>
      </c>
      <c r="C6" s="7">
        <f>23/B26</f>
        <v>244.03700874289109</v>
      </c>
      <c r="D6" s="53">
        <f>27/B25</f>
        <v>859.43468296409469</v>
      </c>
      <c r="E6" s="54">
        <f>16/B26</f>
        <v>169.76487564722859</v>
      </c>
      <c r="F6" s="2"/>
      <c r="G6" s="6" t="s">
        <v>17</v>
      </c>
      <c r="H6" s="14">
        <f>1/B25</f>
        <v>31.830914183855359</v>
      </c>
      <c r="I6" s="7">
        <f>0/B26</f>
        <v>0</v>
      </c>
      <c r="J6" s="53">
        <f>1/B25</f>
        <v>31.830914183855359</v>
      </c>
      <c r="K6" s="54">
        <f>5/B26</f>
        <v>53.051523639758933</v>
      </c>
      <c r="M6" s="6" t="s">
        <v>17</v>
      </c>
      <c r="N6" s="53">
        <f>124/B25</f>
        <v>3947.0333587980649</v>
      </c>
      <c r="O6" s="54">
        <f>121/B26</f>
        <v>1283.8468720821663</v>
      </c>
      <c r="P6" s="2">
        <f>94/B25</f>
        <v>2992.1059332824038</v>
      </c>
      <c r="Q6" s="7">
        <f>126/B26</f>
        <v>1336.8983957219252</v>
      </c>
    </row>
    <row r="7" spans="1:17" x14ac:dyDescent="0.2">
      <c r="A7" s="6" t="s">
        <v>18</v>
      </c>
      <c r="B7" s="14">
        <f>3/B25</f>
        <v>95.492742551566081</v>
      </c>
      <c r="C7" s="7">
        <f>5/B26</f>
        <v>53.051523639758933</v>
      </c>
      <c r="D7" s="49">
        <f>2/B25</f>
        <v>63.661828367710719</v>
      </c>
      <c r="E7" s="50">
        <f>1/B26</f>
        <v>10.610304727951787</v>
      </c>
      <c r="F7" s="2"/>
      <c r="G7" s="6" t="s">
        <v>18</v>
      </c>
      <c r="H7" s="14">
        <f>3/B25</f>
        <v>95.492742551566081</v>
      </c>
      <c r="I7" s="7">
        <f>1/B26</f>
        <v>10.610304727951787</v>
      </c>
      <c r="J7" s="53">
        <f>37/B25</f>
        <v>1177.7438248026483</v>
      </c>
      <c r="K7" s="54">
        <f>1/B26</f>
        <v>10.610304727951787</v>
      </c>
      <c r="M7" s="6" t="s">
        <v>18</v>
      </c>
      <c r="N7" s="53">
        <f>6/B25</f>
        <v>190.98548510313216</v>
      </c>
      <c r="O7" s="54">
        <f>2/B26</f>
        <v>21.220609455903574</v>
      </c>
      <c r="P7" s="2">
        <f>14/B25</f>
        <v>445.63279857397504</v>
      </c>
      <c r="Q7" s="7">
        <f>27/B26</f>
        <v>286.47822765469823</v>
      </c>
    </row>
    <row r="8" spans="1:17" x14ac:dyDescent="0.2">
      <c r="A8" s="6" t="s">
        <v>19</v>
      </c>
      <c r="B8" s="14">
        <f>158/B25</f>
        <v>5029.2844410491471</v>
      </c>
      <c r="C8" s="7">
        <f>127/B26</f>
        <v>1347.5087004498769</v>
      </c>
      <c r="D8" s="49">
        <f>18/B25</f>
        <v>572.95645530939646</v>
      </c>
      <c r="E8" s="50">
        <f>17/B26</f>
        <v>180.37518037518038</v>
      </c>
      <c r="F8" s="2"/>
      <c r="G8" s="6" t="s">
        <v>19</v>
      </c>
      <c r="H8" s="14">
        <f>88/B25</f>
        <v>2801.1204481792715</v>
      </c>
      <c r="I8" s="7">
        <f>44/B26</f>
        <v>466.85340802987861</v>
      </c>
      <c r="J8" s="53">
        <f>32/B25</f>
        <v>1018.5892538833715</v>
      </c>
      <c r="K8" s="54">
        <f>24/B26</f>
        <v>254.64731347084287</v>
      </c>
      <c r="M8" s="6" t="s">
        <v>19</v>
      </c>
      <c r="N8" s="49">
        <f>62/B25</f>
        <v>1973.5166793990325</v>
      </c>
      <c r="O8" s="50">
        <f>18/B26</f>
        <v>190.98548510313216</v>
      </c>
      <c r="P8" s="2">
        <f>18/B25</f>
        <v>572.95645530939646</v>
      </c>
      <c r="Q8" s="7">
        <f>37/B26</f>
        <v>392.58127493421614</v>
      </c>
    </row>
    <row r="9" spans="1:17" x14ac:dyDescent="0.2">
      <c r="A9" s="8" t="s">
        <v>20</v>
      </c>
      <c r="B9" s="15">
        <f>179/B25</f>
        <v>5697.7336389101092</v>
      </c>
      <c r="C9" s="10">
        <f>93/B26</f>
        <v>986.75833969951623</v>
      </c>
      <c r="D9" s="51">
        <f>111/B25</f>
        <v>3533.2314744079449</v>
      </c>
      <c r="E9" s="52">
        <f>52/B26</f>
        <v>551.73584585349295</v>
      </c>
      <c r="F9" s="2"/>
      <c r="G9" s="8" t="s">
        <v>20</v>
      </c>
      <c r="H9" s="15">
        <f>30/B25</f>
        <v>954.92742551566084</v>
      </c>
      <c r="I9" s="10">
        <f>18/B26</f>
        <v>190.98548510313216</v>
      </c>
      <c r="J9" s="51">
        <f>13/B25</f>
        <v>413.80188439011971</v>
      </c>
      <c r="K9" s="52">
        <f>16/B26</f>
        <v>169.76487564722859</v>
      </c>
      <c r="M9" s="8" t="s">
        <v>20</v>
      </c>
      <c r="N9" s="51">
        <f>20/B25</f>
        <v>636.61828367710723</v>
      </c>
      <c r="O9" s="52">
        <f>16/B26</f>
        <v>169.76487564722859</v>
      </c>
      <c r="P9" s="45" t="s">
        <v>24</v>
      </c>
      <c r="Q9" s="46" t="s">
        <v>24</v>
      </c>
    </row>
    <row r="10" spans="1:17" x14ac:dyDescent="0.2">
      <c r="A10" s="2"/>
      <c r="B10" s="2"/>
      <c r="C10" s="2" t="s">
        <v>21</v>
      </c>
      <c r="D10" s="2"/>
      <c r="E10" s="2"/>
      <c r="F10" s="2"/>
      <c r="G10" s="2"/>
    </row>
    <row r="11" spans="1:17" x14ac:dyDescent="0.2">
      <c r="A11" s="3" t="s">
        <v>22</v>
      </c>
      <c r="B11" s="3" t="s">
        <v>1</v>
      </c>
      <c r="C11" s="5" t="s">
        <v>2</v>
      </c>
      <c r="D11" s="4" t="s">
        <v>3</v>
      </c>
      <c r="E11" s="16" t="s">
        <v>4</v>
      </c>
      <c r="G11" s="3" t="s">
        <v>22</v>
      </c>
      <c r="H11" s="3" t="s">
        <v>5</v>
      </c>
      <c r="I11" s="5" t="s">
        <v>6</v>
      </c>
      <c r="J11" s="4" t="s">
        <v>7</v>
      </c>
      <c r="K11" s="16" t="s">
        <v>8</v>
      </c>
      <c r="M11" s="3" t="s">
        <v>22</v>
      </c>
      <c r="N11" s="3" t="s">
        <v>9</v>
      </c>
      <c r="O11" s="5" t="s">
        <v>10</v>
      </c>
      <c r="P11" s="4" t="s">
        <v>11</v>
      </c>
      <c r="Q11" s="16" t="s">
        <v>12</v>
      </c>
    </row>
    <row r="12" spans="1:17" x14ac:dyDescent="0.2">
      <c r="A12" s="3" t="s">
        <v>13</v>
      </c>
      <c r="B12" s="47">
        <f>67/B25</f>
        <v>2132.6712503183094</v>
      </c>
      <c r="C12" s="48">
        <f>9/B26</f>
        <v>95.492742551566081</v>
      </c>
      <c r="D12" s="11">
        <f>0/B25</f>
        <v>0</v>
      </c>
      <c r="E12" s="12">
        <f>3/B26</f>
        <v>31.830914183855359</v>
      </c>
      <c r="G12" s="3" t="s">
        <v>13</v>
      </c>
      <c r="H12" s="47">
        <f>28/B25</f>
        <v>891.26559714795007</v>
      </c>
      <c r="I12" s="48">
        <f>23/B26</f>
        <v>244.03700874289109</v>
      </c>
      <c r="J12" s="11">
        <f>280/B25</f>
        <v>8912.6559714795003</v>
      </c>
      <c r="K12" s="12">
        <f>95/B26</f>
        <v>1007.9789491554197</v>
      </c>
      <c r="M12" s="3" t="s">
        <v>13</v>
      </c>
      <c r="N12" s="13">
        <f>8/B25</f>
        <v>254.64731347084287</v>
      </c>
      <c r="O12" s="12">
        <f>5/B26</f>
        <v>53.051523639758933</v>
      </c>
      <c r="P12" s="47">
        <f>130/B25</f>
        <v>4138.0188439011972</v>
      </c>
      <c r="Q12" s="48">
        <f>25/B26</f>
        <v>265.25761819879466</v>
      </c>
    </row>
    <row r="13" spans="1:17" x14ac:dyDescent="0.2">
      <c r="A13" s="6" t="s">
        <v>14</v>
      </c>
      <c r="B13" s="49">
        <f>11/B25</f>
        <v>350.14005602240894</v>
      </c>
      <c r="C13" s="50">
        <f>3/B26</f>
        <v>31.830914183855359</v>
      </c>
      <c r="D13" s="2">
        <f>73/B25</f>
        <v>2323.6567354214412</v>
      </c>
      <c r="E13" s="7">
        <f>17/B26</f>
        <v>180.37518037518038</v>
      </c>
      <c r="F13" s="1"/>
      <c r="G13" s="6" t="s">
        <v>14</v>
      </c>
      <c r="H13" s="49">
        <f>46/B25</f>
        <v>1464.2220524573465</v>
      </c>
      <c r="I13" s="50">
        <f>18/B26</f>
        <v>190.98548510313216</v>
      </c>
      <c r="J13" s="2">
        <f>51/B25</f>
        <v>1623.3766233766235</v>
      </c>
      <c r="K13" s="7">
        <f>53/B26</f>
        <v>562.3461505814447</v>
      </c>
      <c r="M13" s="6" t="s">
        <v>14</v>
      </c>
      <c r="N13" s="14">
        <f>110/B25</f>
        <v>3501.4005602240895</v>
      </c>
      <c r="O13" s="7">
        <f>13/B26</f>
        <v>137.93396146337324</v>
      </c>
      <c r="P13" s="53">
        <f>12/B25</f>
        <v>381.97097020626433</v>
      </c>
      <c r="Q13" s="54">
        <f>15/B26</f>
        <v>159.15457091927681</v>
      </c>
    </row>
    <row r="14" spans="1:17" x14ac:dyDescent="0.2">
      <c r="A14" s="6" t="s">
        <v>15</v>
      </c>
      <c r="B14" s="49">
        <f>43/B25</f>
        <v>1368.7293099057806</v>
      </c>
      <c r="C14" s="50">
        <f>16/B26</f>
        <v>169.76487564722859</v>
      </c>
      <c r="D14" s="2">
        <f>4/B25</f>
        <v>127.32365673542144</v>
      </c>
      <c r="E14" s="7">
        <f>2/B26</f>
        <v>21.220609455903574</v>
      </c>
      <c r="F14" s="2"/>
      <c r="G14" s="6" t="s">
        <v>15</v>
      </c>
      <c r="H14" s="49">
        <f>7/B25</f>
        <v>222.81639928698752</v>
      </c>
      <c r="I14" s="50">
        <f>2/B26</f>
        <v>21.220609455903574</v>
      </c>
      <c r="J14" s="2">
        <f>9/B25</f>
        <v>286.47822765469823</v>
      </c>
      <c r="K14" s="7">
        <f>3/B26</f>
        <v>31.830914183855359</v>
      </c>
      <c r="M14" s="6" t="s">
        <v>15</v>
      </c>
      <c r="N14" s="19">
        <f>64/B25</f>
        <v>2037.178507766743</v>
      </c>
      <c r="O14" s="20">
        <f>27/B26</f>
        <v>286.47822765469823</v>
      </c>
      <c r="P14" s="53">
        <f>36/B25</f>
        <v>1145.9129106187929</v>
      </c>
      <c r="Q14" s="54">
        <f>16/B26</f>
        <v>169.76487564722859</v>
      </c>
    </row>
    <row r="15" spans="1:17" x14ac:dyDescent="0.2">
      <c r="A15" s="6" t="s">
        <v>16</v>
      </c>
      <c r="B15" s="49">
        <f>2/B25</f>
        <v>63.661828367710719</v>
      </c>
      <c r="C15" s="50">
        <f>0/B26</f>
        <v>0</v>
      </c>
      <c r="D15" s="2">
        <f>2/B25</f>
        <v>63.661828367710719</v>
      </c>
      <c r="E15" s="7">
        <f>4/B26</f>
        <v>42.441218911807148</v>
      </c>
      <c r="F15" s="2"/>
      <c r="G15" s="6" t="s">
        <v>16</v>
      </c>
      <c r="H15" s="49">
        <f>18/B25</f>
        <v>572.95645530939646</v>
      </c>
      <c r="I15" s="50">
        <f>2/B26</f>
        <v>21.220609455903574</v>
      </c>
      <c r="J15" s="2">
        <f>2/B25</f>
        <v>63.661828367710719</v>
      </c>
      <c r="K15" s="7">
        <f>2/B26</f>
        <v>21.220609455903574</v>
      </c>
      <c r="M15" s="6" t="s">
        <v>16</v>
      </c>
      <c r="N15" s="14">
        <f>6/B25</f>
        <v>190.98548510313216</v>
      </c>
      <c r="O15" s="7">
        <f>4/B26</f>
        <v>42.441218911807148</v>
      </c>
      <c r="P15" s="53">
        <f>84/B25</f>
        <v>2673.7967914438505</v>
      </c>
      <c r="Q15" s="54">
        <f>19/B26</f>
        <v>201.59578983108395</v>
      </c>
    </row>
    <row r="16" spans="1:17" ht="15" customHeight="1" x14ac:dyDescent="0.2">
      <c r="A16" s="6" t="s">
        <v>17</v>
      </c>
      <c r="B16" s="53">
        <f>78/B25</f>
        <v>2482.8113063407181</v>
      </c>
      <c r="C16" s="54">
        <f>0/B26</f>
        <v>0</v>
      </c>
      <c r="D16" s="17" t="s">
        <v>24</v>
      </c>
      <c r="E16" s="18" t="s">
        <v>24</v>
      </c>
      <c r="F16" s="2"/>
      <c r="G16" s="6" t="s">
        <v>17</v>
      </c>
      <c r="H16" s="53">
        <f>15/B25</f>
        <v>477.46371275783042</v>
      </c>
      <c r="I16" s="54">
        <f>6/B26</f>
        <v>63.661828367710719</v>
      </c>
      <c r="J16" s="2">
        <f>117/B25</f>
        <v>3724.2169595110772</v>
      </c>
      <c r="K16" s="7">
        <f>11/B26</f>
        <v>116.71335200746965</v>
      </c>
      <c r="M16" s="6" t="s">
        <v>17</v>
      </c>
      <c r="N16" s="14">
        <f>21/B25</f>
        <v>668.44919786096261</v>
      </c>
      <c r="O16" s="7">
        <f>5/B26</f>
        <v>53.051523639758933</v>
      </c>
      <c r="P16" s="53">
        <f>4/B25</f>
        <v>127.32365673542144</v>
      </c>
      <c r="Q16" s="54">
        <f>0/B26</f>
        <v>0</v>
      </c>
    </row>
    <row r="17" spans="1:17" x14ac:dyDescent="0.2">
      <c r="A17" s="6" t="s">
        <v>18</v>
      </c>
      <c r="B17" s="17" t="s">
        <v>24</v>
      </c>
      <c r="C17" s="18" t="s">
        <v>24</v>
      </c>
      <c r="D17" s="2">
        <f>20/B25</f>
        <v>636.61828367710723</v>
      </c>
      <c r="E17" s="7">
        <f>0/B26</f>
        <v>0</v>
      </c>
      <c r="F17" s="2"/>
      <c r="G17" s="6" t="s">
        <v>18</v>
      </c>
      <c r="H17" s="49">
        <f>16/B25</f>
        <v>509.29462694168575</v>
      </c>
      <c r="I17" s="50">
        <f>6/B26</f>
        <v>63.661828367710719</v>
      </c>
      <c r="J17" s="2">
        <f>149/B25</f>
        <v>4742.8062133944486</v>
      </c>
      <c r="K17" s="7">
        <f>101/B26</f>
        <v>1071.6407775231305</v>
      </c>
      <c r="M17" s="6" t="s">
        <v>18</v>
      </c>
      <c r="N17" s="14">
        <f>2/B25</f>
        <v>63.661828367710719</v>
      </c>
      <c r="O17" s="7">
        <f>7/B26</f>
        <v>74.272133095662511</v>
      </c>
      <c r="P17" s="53">
        <f>2/B25</f>
        <v>63.661828367710719</v>
      </c>
      <c r="Q17" s="54">
        <f>3/B26</f>
        <v>31.830914183855359</v>
      </c>
    </row>
    <row r="18" spans="1:17" x14ac:dyDescent="0.2">
      <c r="A18" s="6" t="s">
        <v>19</v>
      </c>
      <c r="B18" s="49">
        <f>12/B25</f>
        <v>381.97097020626433</v>
      </c>
      <c r="C18" s="50">
        <f>1/B26</f>
        <v>10.610304727951787</v>
      </c>
      <c r="D18" s="2">
        <f>10/B25</f>
        <v>318.30914183855361</v>
      </c>
      <c r="E18" s="7">
        <f>0/B26</f>
        <v>0</v>
      </c>
      <c r="F18" s="2"/>
      <c r="G18" s="6" t="s">
        <v>19</v>
      </c>
      <c r="H18" s="49">
        <f>26/B25</f>
        <v>827.60376878023942</v>
      </c>
      <c r="I18" s="50">
        <f>9/B26</f>
        <v>95.492742551566081</v>
      </c>
      <c r="J18" s="2">
        <f>245/B25</f>
        <v>7798.5739750445637</v>
      </c>
      <c r="K18" s="7">
        <f>96/B26</f>
        <v>1018.5892538833715</v>
      </c>
      <c r="M18" s="6" t="s">
        <v>19</v>
      </c>
      <c r="N18" s="14">
        <f>31/B25</f>
        <v>986.75833969951623</v>
      </c>
      <c r="O18" s="7">
        <f>20/B26</f>
        <v>212.20609455903573</v>
      </c>
      <c r="P18" s="49">
        <f>133/B25</f>
        <v>4233.5115864527634</v>
      </c>
      <c r="Q18" s="50">
        <f>35/B26</f>
        <v>371.36066547831257</v>
      </c>
    </row>
    <row r="19" spans="1:17" x14ac:dyDescent="0.2">
      <c r="A19" s="8" t="s">
        <v>20</v>
      </c>
      <c r="B19" s="51">
        <f>3/B25</f>
        <v>95.492742551566081</v>
      </c>
      <c r="C19" s="52">
        <f>2/B26</f>
        <v>21.220609455903574</v>
      </c>
      <c r="D19" s="9">
        <f>1/B25</f>
        <v>31.830914183855359</v>
      </c>
      <c r="E19" s="10">
        <f>1/B26</f>
        <v>10.610304727951787</v>
      </c>
      <c r="F19" s="2"/>
      <c r="G19" s="8" t="s">
        <v>20</v>
      </c>
      <c r="H19" s="51">
        <f>29/B25</f>
        <v>923.09651133180546</v>
      </c>
      <c r="I19" s="52">
        <f>12/B26</f>
        <v>127.32365673542144</v>
      </c>
      <c r="J19" s="9">
        <f>35/B25</f>
        <v>1114.0819964349375</v>
      </c>
      <c r="K19" s="10">
        <f>10/B26</f>
        <v>106.10304727951787</v>
      </c>
      <c r="M19" s="8" t="s">
        <v>20</v>
      </c>
      <c r="N19" s="15">
        <f>4/B25</f>
        <v>127.32365673542144</v>
      </c>
      <c r="O19" s="10">
        <f>3/B26</f>
        <v>31.830914183855359</v>
      </c>
      <c r="P19" s="51">
        <f>132/B25</f>
        <v>4201.680672268908</v>
      </c>
      <c r="Q19" s="52">
        <f>128/B26</f>
        <v>1358.1190051778287</v>
      </c>
    </row>
    <row r="20" spans="1:17" x14ac:dyDescent="0.2">
      <c r="A20" s="1"/>
      <c r="B20" s="2"/>
      <c r="C20" s="2"/>
      <c r="D20" s="2"/>
      <c r="E20" s="2"/>
      <c r="F20" s="2"/>
      <c r="G20" s="2"/>
    </row>
    <row r="21" spans="1:17" x14ac:dyDescent="0.2">
      <c r="A21" s="1" t="s">
        <v>25</v>
      </c>
      <c r="B21" s="2"/>
      <c r="C21" s="2"/>
      <c r="D21" s="2"/>
      <c r="E21" s="2"/>
      <c r="F21" s="2"/>
      <c r="G21" s="29" t="s">
        <v>0</v>
      </c>
      <c r="H21" s="27" t="s">
        <v>1</v>
      </c>
      <c r="I21" s="16" t="s">
        <v>2</v>
      </c>
      <c r="J21" s="27" t="s">
        <v>5</v>
      </c>
      <c r="K21" s="16" t="s">
        <v>6</v>
      </c>
      <c r="L21" s="28" t="s">
        <v>9</v>
      </c>
      <c r="M21" s="16" t="s">
        <v>10</v>
      </c>
    </row>
    <row r="22" spans="1:17" x14ac:dyDescent="0.2">
      <c r="A22" s="1" t="s">
        <v>27</v>
      </c>
      <c r="G22" s="30" t="s">
        <v>18</v>
      </c>
      <c r="H22" s="32">
        <f>10/B25</f>
        <v>318.30914183855361</v>
      </c>
      <c r="I22" s="25">
        <f>4/B26</f>
        <v>42.441218911807148</v>
      </c>
      <c r="J22" s="41" t="s">
        <v>24</v>
      </c>
      <c r="K22" s="42" t="s">
        <v>24</v>
      </c>
      <c r="L22" s="2">
        <f>26/B25</f>
        <v>827.60376878023942</v>
      </c>
      <c r="M22" s="7">
        <f>7/B26</f>
        <v>74.272133095662511</v>
      </c>
    </row>
    <row r="23" spans="1:17" x14ac:dyDescent="0.2">
      <c r="G23" s="30" t="s">
        <v>19</v>
      </c>
      <c r="H23" s="32">
        <f>15/B25</f>
        <v>477.46371275783042</v>
      </c>
      <c r="I23" s="25">
        <f>1/B26</f>
        <v>10.610304727951787</v>
      </c>
      <c r="J23" s="32">
        <f>13/B25</f>
        <v>413.80188439011971</v>
      </c>
      <c r="K23" s="25">
        <f>1/B26</f>
        <v>10.610304727951787</v>
      </c>
      <c r="L23" s="2" t="s">
        <v>24</v>
      </c>
      <c r="M23" s="7" t="s">
        <v>24</v>
      </c>
    </row>
    <row r="24" spans="1:17" x14ac:dyDescent="0.2">
      <c r="A24" s="1" t="s">
        <v>28</v>
      </c>
      <c r="B24" s="2"/>
      <c r="C24" s="2"/>
      <c r="G24" s="31" t="s">
        <v>20</v>
      </c>
      <c r="H24" s="33">
        <f>146/B25</f>
        <v>4647.3134708428825</v>
      </c>
      <c r="I24" s="26">
        <f>106/B26</f>
        <v>1124.6923011628894</v>
      </c>
      <c r="J24" s="33">
        <f>84/B25</f>
        <v>2673.7967914438505</v>
      </c>
      <c r="K24" s="26">
        <f>19/B26</f>
        <v>201.59578983108395</v>
      </c>
      <c r="L24" s="9">
        <f>276/B25</f>
        <v>8785.3323147440788</v>
      </c>
      <c r="M24" s="10">
        <f>221/B26</f>
        <v>2344.877344877345</v>
      </c>
    </row>
    <row r="25" spans="1:17" x14ac:dyDescent="0.2">
      <c r="A25" s="1" t="s">
        <v>29</v>
      </c>
      <c r="B25" s="1">
        <v>3.1415999999999999E-2</v>
      </c>
      <c r="C25" s="1" t="s">
        <v>30</v>
      </c>
    </row>
    <row r="26" spans="1:17" x14ac:dyDescent="0.2">
      <c r="A26" s="1" t="s">
        <v>31</v>
      </c>
      <c r="B26" s="1">
        <v>9.4247999999999998E-2</v>
      </c>
      <c r="C26" s="1" t="s">
        <v>30</v>
      </c>
      <c r="G26" s="29" t="s">
        <v>22</v>
      </c>
      <c r="H26" s="27" t="s">
        <v>1</v>
      </c>
      <c r="I26" s="16" t="s">
        <v>2</v>
      </c>
      <c r="J26" s="27" t="s">
        <v>5</v>
      </c>
      <c r="K26" s="16" t="s">
        <v>6</v>
      </c>
      <c r="L26" s="28" t="s">
        <v>9</v>
      </c>
      <c r="M26" s="16" t="s">
        <v>10</v>
      </c>
    </row>
    <row r="27" spans="1:17" x14ac:dyDescent="0.2">
      <c r="G27" s="30" t="s">
        <v>18</v>
      </c>
      <c r="H27" s="32">
        <f>4/B25</f>
        <v>127.32365673542144</v>
      </c>
      <c r="I27" s="25">
        <f>7/B26</f>
        <v>74.272133095662511</v>
      </c>
      <c r="J27" s="2">
        <f>18/B25</f>
        <v>572.95645530939646</v>
      </c>
      <c r="K27" s="7">
        <f>2/B26</f>
        <v>21.220609455903574</v>
      </c>
      <c r="L27" s="2">
        <f>16/B25</f>
        <v>509.29462694168575</v>
      </c>
      <c r="M27" s="7">
        <f>15/B26</f>
        <v>159.15457091927681</v>
      </c>
    </row>
    <row r="28" spans="1:17" x14ac:dyDescent="0.2">
      <c r="A28" s="1" t="s">
        <v>32</v>
      </c>
      <c r="B28" s="1" t="s">
        <v>33</v>
      </c>
      <c r="C28" s="1" t="s">
        <v>34</v>
      </c>
      <c r="D28" s="1"/>
      <c r="E28" s="1"/>
      <c r="G28" s="30" t="s">
        <v>19</v>
      </c>
      <c r="H28" s="32">
        <f>224/B25</f>
        <v>7130.1247771836006</v>
      </c>
      <c r="I28" s="25">
        <f>22/B26</f>
        <v>233.4267040149393</v>
      </c>
      <c r="J28" s="2">
        <f>165/B25</f>
        <v>5252.1008403361348</v>
      </c>
      <c r="K28" s="7">
        <f>28/B26</f>
        <v>297.08853238265004</v>
      </c>
      <c r="L28" s="2" t="s">
        <v>24</v>
      </c>
      <c r="M28" s="7" t="s">
        <v>24</v>
      </c>
    </row>
    <row r="29" spans="1:17" x14ac:dyDescent="0.2">
      <c r="A29" s="1" t="s">
        <v>13</v>
      </c>
      <c r="B29" s="57">
        <v>1.7048000000000001E-2</v>
      </c>
      <c r="C29" s="1">
        <v>0.55018800000000001</v>
      </c>
      <c r="D29" s="1" t="s">
        <v>42</v>
      </c>
      <c r="E29" s="1"/>
      <c r="G29" s="31" t="s">
        <v>20</v>
      </c>
      <c r="H29" s="33">
        <f>20/B25</f>
        <v>636.61828367710723</v>
      </c>
      <c r="I29" s="26">
        <f>0/B26</f>
        <v>0</v>
      </c>
      <c r="J29" s="9">
        <f>24/B25</f>
        <v>763.94194041252865</v>
      </c>
      <c r="K29" s="10">
        <f>15/B26</f>
        <v>159.15457091927681</v>
      </c>
      <c r="L29" s="9" t="s">
        <v>24</v>
      </c>
      <c r="M29" s="10" t="s">
        <v>24</v>
      </c>
    </row>
    <row r="30" spans="1:17" x14ac:dyDescent="0.2">
      <c r="A30" s="1" t="s">
        <v>14</v>
      </c>
      <c r="B30" s="57">
        <v>6.7000000000000002E-3</v>
      </c>
      <c r="C30" s="1">
        <v>0.51052699999999995</v>
      </c>
      <c r="D30" s="1" t="s">
        <v>35</v>
      </c>
      <c r="E30" s="1"/>
    </row>
    <row r="31" spans="1:17" x14ac:dyDescent="0.2">
      <c r="A31" s="1" t="s">
        <v>15</v>
      </c>
      <c r="B31" s="57">
        <v>8.9720000000000008E-3</v>
      </c>
      <c r="C31" s="1">
        <v>0.63717199999999996</v>
      </c>
      <c r="D31" s="1" t="s">
        <v>35</v>
      </c>
      <c r="E31" s="1"/>
    </row>
    <row r="32" spans="1:17" x14ac:dyDescent="0.2">
      <c r="A32" s="1" t="s">
        <v>16</v>
      </c>
      <c r="B32" s="57">
        <v>1.2127000000000001E-2</v>
      </c>
      <c r="C32" s="1">
        <v>0.66422099999999995</v>
      </c>
      <c r="D32" s="1" t="s">
        <v>42</v>
      </c>
      <c r="E32" s="1"/>
    </row>
    <row r="33" spans="1:6" x14ac:dyDescent="0.2">
      <c r="A33" s="1" t="s">
        <v>17</v>
      </c>
      <c r="B33" s="1">
        <v>0.84569799999999995</v>
      </c>
      <c r="C33" s="1">
        <v>0.52708699999999997</v>
      </c>
      <c r="D33" s="1" t="s">
        <v>39</v>
      </c>
      <c r="E33" s="1" t="s">
        <v>39</v>
      </c>
    </row>
    <row r="34" spans="1:6" x14ac:dyDescent="0.2">
      <c r="A34" s="1" t="s">
        <v>18</v>
      </c>
      <c r="B34" s="1">
        <v>0.17078399999999999</v>
      </c>
      <c r="C34" s="1">
        <v>0.76467799999999997</v>
      </c>
      <c r="D34" s="1">
        <v>0.23790900000000001</v>
      </c>
      <c r="E34" s="1">
        <v>0.76887399999999995</v>
      </c>
    </row>
    <row r="35" spans="1:6" x14ac:dyDescent="0.2">
      <c r="A35" s="1" t="s">
        <v>19</v>
      </c>
      <c r="B35" s="1">
        <v>0.67690700000000004</v>
      </c>
      <c r="C35" s="1">
        <v>0.85551100000000002</v>
      </c>
      <c r="D35" s="61">
        <v>5.8365E-2</v>
      </c>
      <c r="E35" s="1">
        <v>0.93181999999999998</v>
      </c>
    </row>
    <row r="36" spans="1:6" x14ac:dyDescent="0.2">
      <c r="A36" s="1" t="s">
        <v>20</v>
      </c>
      <c r="B36" s="1">
        <v>0.189689</v>
      </c>
      <c r="C36" s="1">
        <v>0.87359500000000001</v>
      </c>
      <c r="D36" s="57">
        <v>6.7759999999999999E-3</v>
      </c>
      <c r="E36" s="1">
        <v>0.55979400000000001</v>
      </c>
      <c r="F36" s="1" t="s">
        <v>35</v>
      </c>
    </row>
    <row r="37" spans="1:6" x14ac:dyDescent="0.2">
      <c r="A37" s="1"/>
      <c r="C37" s="1"/>
      <c r="D37" s="1"/>
      <c r="E37" s="1"/>
    </row>
    <row r="38" spans="1:6" x14ac:dyDescent="0.2">
      <c r="A38" s="59" t="s">
        <v>24</v>
      </c>
      <c r="B38" s="38" t="s">
        <v>47</v>
      </c>
      <c r="C38" s="1"/>
      <c r="E38" s="1"/>
    </row>
    <row r="39" spans="1:6" x14ac:dyDescent="0.2">
      <c r="A39" s="38">
        <v>0</v>
      </c>
      <c r="B39" s="3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1387-C56F-A94D-A049-0F29E9EE93A1}">
  <dimension ref="A1:AC75"/>
  <sheetViews>
    <sheetView topLeftCell="C1" zoomScale="125" workbookViewId="0">
      <selection activeCell="L27" sqref="L27:M29"/>
    </sheetView>
  </sheetViews>
  <sheetFormatPr baseColWidth="10" defaultColWidth="11" defaultRowHeight="16" x14ac:dyDescent="0.2"/>
  <cols>
    <col min="2" max="2" width="13" customWidth="1"/>
    <col min="3" max="3" width="13.83203125" customWidth="1"/>
    <col min="4" max="4" width="13" customWidth="1"/>
    <col min="5" max="5" width="13.5" customWidth="1"/>
  </cols>
  <sheetData>
    <row r="1" spans="1:17" x14ac:dyDescent="0.2">
      <c r="A1" s="3" t="s">
        <v>0</v>
      </c>
      <c r="B1" s="3" t="s">
        <v>1</v>
      </c>
      <c r="C1" s="5" t="s">
        <v>2</v>
      </c>
      <c r="D1" s="4" t="s">
        <v>3</v>
      </c>
      <c r="E1" s="16" t="s">
        <v>4</v>
      </c>
      <c r="G1" s="3" t="s">
        <v>0</v>
      </c>
      <c r="H1" s="3" t="s">
        <v>5</v>
      </c>
      <c r="I1" s="5" t="s">
        <v>6</v>
      </c>
      <c r="J1" s="4" t="s">
        <v>7</v>
      </c>
      <c r="K1" s="16" t="s">
        <v>8</v>
      </c>
      <c r="M1" s="3" t="s">
        <v>0</v>
      </c>
      <c r="N1" s="3" t="s">
        <v>9</v>
      </c>
      <c r="O1" s="5" t="s">
        <v>10</v>
      </c>
      <c r="P1" s="4" t="s">
        <v>11</v>
      </c>
      <c r="Q1" s="16" t="s">
        <v>12</v>
      </c>
    </row>
    <row r="2" spans="1:17" x14ac:dyDescent="0.2">
      <c r="A2" s="3" t="s">
        <v>13</v>
      </c>
      <c r="B2" s="13">
        <f>7/B25</f>
        <v>222.81639928698752</v>
      </c>
      <c r="C2" s="12">
        <f>0/B26</f>
        <v>0</v>
      </c>
      <c r="D2" s="11">
        <f>4/B25</f>
        <v>127.32365673542144</v>
      </c>
      <c r="E2" s="12">
        <f>1/B26</f>
        <v>10.610304727951787</v>
      </c>
      <c r="F2" s="2"/>
      <c r="G2" s="3" t="s">
        <v>13</v>
      </c>
      <c r="H2" s="13">
        <f>3/B25</f>
        <v>95.492742551566081</v>
      </c>
      <c r="I2" s="12">
        <f>2/B26</f>
        <v>21.220609455903574</v>
      </c>
      <c r="J2" s="11">
        <f>9/B25</f>
        <v>286.47822765469823</v>
      </c>
      <c r="K2" s="12">
        <f>2/B26</f>
        <v>21.220609455903574</v>
      </c>
      <c r="M2" s="3" t="s">
        <v>13</v>
      </c>
      <c r="N2" s="13">
        <f>16/B25</f>
        <v>509.29462694168575</v>
      </c>
      <c r="O2" s="12">
        <f>7/B26</f>
        <v>74.272133095662511</v>
      </c>
      <c r="P2" s="11">
        <f>5/B25</f>
        <v>159.15457091927681</v>
      </c>
      <c r="Q2" s="12">
        <f>5/B26</f>
        <v>53.051523639758933</v>
      </c>
    </row>
    <row r="3" spans="1:17" x14ac:dyDescent="0.2">
      <c r="A3" s="6" t="s">
        <v>14</v>
      </c>
      <c r="B3" s="14">
        <f>16/B25</f>
        <v>509.29462694168575</v>
      </c>
      <c r="C3" s="7">
        <f>1/B26</f>
        <v>10.610304727951787</v>
      </c>
      <c r="D3" s="2">
        <f>41/B25</f>
        <v>1305.0674815380698</v>
      </c>
      <c r="E3" s="7">
        <f>50/B26</f>
        <v>530.51523639758932</v>
      </c>
      <c r="F3" s="2"/>
      <c r="G3" s="6" t="s">
        <v>14</v>
      </c>
      <c r="H3" s="14">
        <f>3/B25</f>
        <v>95.492742551566081</v>
      </c>
      <c r="I3" s="7">
        <f>1/B26</f>
        <v>10.610304727951787</v>
      </c>
      <c r="J3" s="2">
        <f>10/B25</f>
        <v>318.30914183855361</v>
      </c>
      <c r="K3" s="7">
        <f>3/B26</f>
        <v>31.830914183855359</v>
      </c>
      <c r="M3" s="6" t="s">
        <v>14</v>
      </c>
      <c r="N3" s="14">
        <f>7/B25</f>
        <v>222.81639928698752</v>
      </c>
      <c r="O3" s="7">
        <f>20/B26</f>
        <v>212.20609455903573</v>
      </c>
      <c r="P3" s="2">
        <f>2/B25</f>
        <v>63.661828367710719</v>
      </c>
      <c r="Q3" s="7">
        <f>1/B26</f>
        <v>10.610304727951787</v>
      </c>
    </row>
    <row r="4" spans="1:17" x14ac:dyDescent="0.2">
      <c r="A4" s="6" t="s">
        <v>15</v>
      </c>
      <c r="B4" s="14">
        <f>5/B25</f>
        <v>159.15457091927681</v>
      </c>
      <c r="C4" s="7">
        <f>15/B26</f>
        <v>159.15457091927681</v>
      </c>
      <c r="D4" s="2">
        <f>0/B25</f>
        <v>0</v>
      </c>
      <c r="E4" s="7">
        <f>0/B26</f>
        <v>0</v>
      </c>
      <c r="F4" s="2"/>
      <c r="G4" s="6" t="s">
        <v>15</v>
      </c>
      <c r="H4" s="14">
        <f>7/B25</f>
        <v>222.81639928698752</v>
      </c>
      <c r="I4" s="7">
        <f>0/B26</f>
        <v>0</v>
      </c>
      <c r="J4" s="2">
        <f>42/B25</f>
        <v>1336.8983957219252</v>
      </c>
      <c r="K4" s="7">
        <f>8/B26</f>
        <v>84.882437823614296</v>
      </c>
      <c r="M4" s="6" t="s">
        <v>15</v>
      </c>
      <c r="N4" s="14">
        <f>15/B25</f>
        <v>477.46371275783042</v>
      </c>
      <c r="O4" s="7">
        <f>4/B26</f>
        <v>42.441218911807148</v>
      </c>
      <c r="P4" s="2">
        <f>0/B25</f>
        <v>0</v>
      </c>
      <c r="Q4" s="7">
        <f>1/B26</f>
        <v>10.610304727951787</v>
      </c>
    </row>
    <row r="5" spans="1:17" x14ac:dyDescent="0.2">
      <c r="A5" s="6" t="s">
        <v>16</v>
      </c>
      <c r="B5" s="14">
        <f>3/B25</f>
        <v>95.492742551566081</v>
      </c>
      <c r="C5" s="7">
        <f>0/B26</f>
        <v>0</v>
      </c>
      <c r="D5" s="2">
        <f>15/B25</f>
        <v>477.46371275783042</v>
      </c>
      <c r="E5" s="7">
        <f>8/B26</f>
        <v>84.882437823614296</v>
      </c>
      <c r="F5" s="2"/>
      <c r="G5" s="6" t="s">
        <v>16</v>
      </c>
      <c r="H5" s="14">
        <f>2/B25</f>
        <v>63.661828367710719</v>
      </c>
      <c r="I5" s="7">
        <f>2/B26</f>
        <v>21.220609455903574</v>
      </c>
      <c r="J5" s="17" t="s">
        <v>24</v>
      </c>
      <c r="K5" s="18" t="s">
        <v>24</v>
      </c>
      <c r="M5" s="6" t="s">
        <v>16</v>
      </c>
      <c r="N5" s="14">
        <f>6/B25</f>
        <v>190.98548510313216</v>
      </c>
      <c r="O5" s="7">
        <f>2/B26</f>
        <v>21.220609455903574</v>
      </c>
      <c r="P5" s="2">
        <f>1/B25</f>
        <v>31.830914183855359</v>
      </c>
      <c r="Q5" s="7">
        <f>0/B26</f>
        <v>0</v>
      </c>
    </row>
    <row r="6" spans="1:17" x14ac:dyDescent="0.2">
      <c r="A6" s="6" t="s">
        <v>17</v>
      </c>
      <c r="B6" s="14">
        <f>27/B25</f>
        <v>859.43468296409469</v>
      </c>
      <c r="C6" s="7">
        <f>20/B26</f>
        <v>212.20609455903573</v>
      </c>
      <c r="D6" s="2">
        <f>11/B25</f>
        <v>350.14005602240894</v>
      </c>
      <c r="E6" s="7">
        <f>6/B26</f>
        <v>63.661828367710719</v>
      </c>
      <c r="F6" s="2"/>
      <c r="G6" s="6" t="s">
        <v>17</v>
      </c>
      <c r="H6" s="14">
        <f>0/B25</f>
        <v>0</v>
      </c>
      <c r="I6" s="7">
        <f>2/B26</f>
        <v>21.220609455903574</v>
      </c>
      <c r="J6" s="2">
        <f>6/B25</f>
        <v>190.98548510313216</v>
      </c>
      <c r="K6" s="7">
        <f>2/B26</f>
        <v>21.220609455903574</v>
      </c>
      <c r="M6" s="6" t="s">
        <v>17</v>
      </c>
      <c r="N6" s="14">
        <f>12/B25</f>
        <v>381.97097020626433</v>
      </c>
      <c r="O6" s="7">
        <f>3/B26</f>
        <v>31.830914183855359</v>
      </c>
      <c r="P6" s="2">
        <f>3/B25</f>
        <v>95.492742551566081</v>
      </c>
      <c r="Q6" s="7">
        <f>2/B26</f>
        <v>21.220609455903574</v>
      </c>
    </row>
    <row r="7" spans="1:17" x14ac:dyDescent="0.2">
      <c r="A7" s="6" t="s">
        <v>18</v>
      </c>
      <c r="B7" s="14">
        <f>14/B25</f>
        <v>445.63279857397504</v>
      </c>
      <c r="C7" s="7">
        <f>1/B26</f>
        <v>10.610304727951787</v>
      </c>
      <c r="D7" s="2">
        <f>15/B25</f>
        <v>477.46371275783042</v>
      </c>
      <c r="E7" s="7">
        <f>0/B26</f>
        <v>0</v>
      </c>
      <c r="F7" s="2"/>
      <c r="G7" s="6" t="s">
        <v>18</v>
      </c>
      <c r="H7" s="14">
        <f>26/B25</f>
        <v>827.60376878023942</v>
      </c>
      <c r="I7" s="7">
        <f>3/B26</f>
        <v>31.830914183855359</v>
      </c>
      <c r="J7" s="17" t="s">
        <v>24</v>
      </c>
      <c r="K7" s="18" t="s">
        <v>24</v>
      </c>
      <c r="M7" s="6" t="s">
        <v>18</v>
      </c>
      <c r="N7" s="17" t="s">
        <v>24</v>
      </c>
      <c r="O7" s="18" t="s">
        <v>24</v>
      </c>
      <c r="P7" s="2">
        <f>19/B25</f>
        <v>604.78736949325184</v>
      </c>
      <c r="Q7" s="7">
        <f>1/B26</f>
        <v>10.610304727951787</v>
      </c>
    </row>
    <row r="8" spans="1:17" x14ac:dyDescent="0.2">
      <c r="A8" s="6" t="s">
        <v>19</v>
      </c>
      <c r="B8" s="14">
        <f>24/B25</f>
        <v>763.94194041252865</v>
      </c>
      <c r="C8" s="7">
        <f>4/B26</f>
        <v>42.441218911807148</v>
      </c>
      <c r="D8" s="2">
        <f>89/B25</f>
        <v>2832.9513623631269</v>
      </c>
      <c r="E8" s="7">
        <f>18/B26</f>
        <v>190.98548510313216</v>
      </c>
      <c r="F8" s="2"/>
      <c r="G8" s="6" t="s">
        <v>19</v>
      </c>
      <c r="H8" s="14">
        <f>20/B25</f>
        <v>636.61828367710723</v>
      </c>
      <c r="I8" s="7">
        <f>1/B26</f>
        <v>10.610304727951787</v>
      </c>
      <c r="J8" s="2">
        <f>10/B25</f>
        <v>318.30914183855361</v>
      </c>
      <c r="K8" s="7">
        <f>1/B26</f>
        <v>10.610304727951787</v>
      </c>
      <c r="M8" s="6" t="s">
        <v>19</v>
      </c>
      <c r="N8" s="14">
        <f>31/B25</f>
        <v>986.75833969951623</v>
      </c>
      <c r="O8" s="7">
        <f>33/B26</f>
        <v>350.14005602240894</v>
      </c>
      <c r="P8" s="2">
        <f>10/B25</f>
        <v>318.30914183855361</v>
      </c>
      <c r="Q8" s="7">
        <f>3/B26</f>
        <v>31.830914183855359</v>
      </c>
    </row>
    <row r="9" spans="1:17" x14ac:dyDescent="0.2">
      <c r="A9" s="8" t="s">
        <v>20</v>
      </c>
      <c r="B9" s="15">
        <f>0/B25</f>
        <v>0</v>
      </c>
      <c r="C9" s="10">
        <f>7/B26</f>
        <v>74.272133095662511</v>
      </c>
      <c r="D9" s="9">
        <f>5/B25</f>
        <v>159.15457091927681</v>
      </c>
      <c r="E9" s="10">
        <f>2/B26</f>
        <v>21.220609455903574</v>
      </c>
      <c r="F9" s="2"/>
      <c r="G9" s="8" t="s">
        <v>20</v>
      </c>
      <c r="H9" s="15">
        <f>17/B25</f>
        <v>541.12554112554119</v>
      </c>
      <c r="I9" s="10">
        <f>1/B26</f>
        <v>10.610304727951787</v>
      </c>
      <c r="J9" s="9">
        <f>30/B25</f>
        <v>954.92742551566084</v>
      </c>
      <c r="K9" s="10">
        <f>9/B26</f>
        <v>95.492742551566081</v>
      </c>
      <c r="M9" s="8" t="s">
        <v>20</v>
      </c>
      <c r="N9" s="15">
        <f>5/B25</f>
        <v>159.15457091927681</v>
      </c>
      <c r="O9" s="10">
        <f>14/B26</f>
        <v>148.54426619132502</v>
      </c>
      <c r="P9" s="9">
        <f>3/B25</f>
        <v>95.492742551566081</v>
      </c>
      <c r="Q9" s="10">
        <f>2/B26</f>
        <v>21.220609455903574</v>
      </c>
    </row>
    <row r="10" spans="1:17" x14ac:dyDescent="0.2">
      <c r="A10" s="2"/>
      <c r="B10" s="2"/>
      <c r="C10" s="2" t="s">
        <v>21</v>
      </c>
      <c r="D10" s="2"/>
      <c r="E10" s="2"/>
      <c r="F10" s="2"/>
      <c r="G10" s="2"/>
    </row>
    <row r="11" spans="1:17" x14ac:dyDescent="0.2">
      <c r="A11" s="3" t="s">
        <v>22</v>
      </c>
      <c r="B11" s="3" t="s">
        <v>1</v>
      </c>
      <c r="C11" s="5" t="s">
        <v>2</v>
      </c>
      <c r="D11" s="4" t="s">
        <v>3</v>
      </c>
      <c r="E11" s="16" t="s">
        <v>4</v>
      </c>
      <c r="G11" s="3" t="s">
        <v>22</v>
      </c>
      <c r="H11" s="3" t="s">
        <v>5</v>
      </c>
      <c r="I11" s="5" t="s">
        <v>6</v>
      </c>
      <c r="J11" s="4" t="s">
        <v>7</v>
      </c>
      <c r="K11" s="16" t="s">
        <v>8</v>
      </c>
      <c r="M11" s="3" t="s">
        <v>22</v>
      </c>
      <c r="N11" s="3" t="s">
        <v>9</v>
      </c>
      <c r="O11" s="5" t="s">
        <v>10</v>
      </c>
      <c r="P11" s="4" t="s">
        <v>11</v>
      </c>
      <c r="Q11" s="16" t="s">
        <v>12</v>
      </c>
    </row>
    <row r="12" spans="1:17" x14ac:dyDescent="0.2">
      <c r="A12" s="3" t="s">
        <v>13</v>
      </c>
      <c r="B12" s="13">
        <f>7/B25</f>
        <v>222.81639928698752</v>
      </c>
      <c r="C12" s="12">
        <f>2/B26</f>
        <v>21.220609455903574</v>
      </c>
      <c r="D12" s="11">
        <f>6/B25</f>
        <v>190.98548510313216</v>
      </c>
      <c r="E12" s="12">
        <f>1/B26</f>
        <v>10.610304727951787</v>
      </c>
      <c r="G12" s="3" t="s">
        <v>13</v>
      </c>
      <c r="H12" s="13">
        <f>30/B25</f>
        <v>954.92742551566084</v>
      </c>
      <c r="I12" s="12">
        <f>35/B26</f>
        <v>371.36066547831257</v>
      </c>
      <c r="J12" s="11">
        <f>124/B25</f>
        <v>3947.0333587980649</v>
      </c>
      <c r="K12" s="12">
        <f>1/B26</f>
        <v>10.610304727951787</v>
      </c>
      <c r="M12" s="3" t="s">
        <v>13</v>
      </c>
      <c r="N12" s="13">
        <f>5/B25</f>
        <v>159.15457091927681</v>
      </c>
      <c r="O12" s="12">
        <f>4/B26</f>
        <v>42.441218911807148</v>
      </c>
      <c r="P12" s="11">
        <f>14/B25</f>
        <v>445.63279857397504</v>
      </c>
      <c r="Q12" s="12">
        <f>2/B26</f>
        <v>21.220609455903574</v>
      </c>
    </row>
    <row r="13" spans="1:17" x14ac:dyDescent="0.2">
      <c r="A13" s="6" t="s">
        <v>14</v>
      </c>
      <c r="B13" s="14">
        <f>33/B25</f>
        <v>1050.420168067227</v>
      </c>
      <c r="C13" s="7">
        <f>1/B26</f>
        <v>10.610304727951787</v>
      </c>
      <c r="D13" s="2">
        <f>30/B25</f>
        <v>954.92742551566084</v>
      </c>
      <c r="E13" s="7">
        <f>1/B26</f>
        <v>10.610304727951787</v>
      </c>
      <c r="F13" s="1"/>
      <c r="G13" s="6" t="s">
        <v>14</v>
      </c>
      <c r="H13" s="14">
        <f>76/B25</f>
        <v>2419.1494779730074</v>
      </c>
      <c r="I13" s="7">
        <f>15/B26</f>
        <v>159.15457091927681</v>
      </c>
      <c r="J13" s="2">
        <f>70/B25</f>
        <v>2228.1639928698751</v>
      </c>
      <c r="K13" s="7">
        <f>8/B26</f>
        <v>84.882437823614296</v>
      </c>
      <c r="M13" s="6" t="s">
        <v>14</v>
      </c>
      <c r="N13" s="14">
        <f>0/B25</f>
        <v>0</v>
      </c>
      <c r="O13" s="7">
        <f>1/B26</f>
        <v>10.610304727951787</v>
      </c>
      <c r="P13" s="2">
        <f>28/B25</f>
        <v>891.26559714795007</v>
      </c>
      <c r="Q13" s="7">
        <f>1/B26</f>
        <v>10.610304727951787</v>
      </c>
    </row>
    <row r="14" spans="1:17" x14ac:dyDescent="0.2">
      <c r="A14" s="6" t="s">
        <v>15</v>
      </c>
      <c r="B14" s="14">
        <f>9/B25</f>
        <v>286.47822765469823</v>
      </c>
      <c r="C14" s="7">
        <f>5/B26</f>
        <v>53.051523639758933</v>
      </c>
      <c r="D14" s="2">
        <f>10/B25</f>
        <v>318.30914183855361</v>
      </c>
      <c r="E14" s="7">
        <f>5/B26</f>
        <v>53.051523639758933</v>
      </c>
      <c r="F14" s="2"/>
      <c r="G14" s="6" t="s">
        <v>15</v>
      </c>
      <c r="H14" s="14">
        <f>7/B25</f>
        <v>222.81639928698752</v>
      </c>
      <c r="I14" s="7">
        <f>1/B26</f>
        <v>10.610304727951787</v>
      </c>
      <c r="J14" s="2">
        <f>15/B25</f>
        <v>477.46371275783042</v>
      </c>
      <c r="K14" s="7">
        <f>3/B26</f>
        <v>31.830914183855359</v>
      </c>
      <c r="M14" s="6" t="s">
        <v>15</v>
      </c>
      <c r="N14" s="19">
        <f>0/B25</f>
        <v>0</v>
      </c>
      <c r="O14" s="20">
        <f>0/B26</f>
        <v>0</v>
      </c>
      <c r="P14" s="2">
        <f>10/B25</f>
        <v>318.30914183855361</v>
      </c>
      <c r="Q14" s="7">
        <f>0/B26</f>
        <v>0</v>
      </c>
    </row>
    <row r="15" spans="1:17" x14ac:dyDescent="0.2">
      <c r="A15" s="6" t="s">
        <v>16</v>
      </c>
      <c r="B15" s="14">
        <f>3/B25</f>
        <v>95.492742551566081</v>
      </c>
      <c r="C15" s="7">
        <f>0/B26</f>
        <v>0</v>
      </c>
      <c r="D15">
        <f>4/B25</f>
        <v>127.32365673542144</v>
      </c>
      <c r="E15" s="7">
        <f>0/B26</f>
        <v>0</v>
      </c>
      <c r="F15" s="2"/>
      <c r="G15" s="6" t="s">
        <v>16</v>
      </c>
      <c r="H15" s="14">
        <f>12/B25</f>
        <v>381.97097020626433</v>
      </c>
      <c r="I15" s="7">
        <f>14/B26</f>
        <v>148.54426619132502</v>
      </c>
      <c r="J15" s="2">
        <f>18/B25</f>
        <v>572.95645530939646</v>
      </c>
      <c r="K15" s="7">
        <f>14/B26</f>
        <v>148.54426619132502</v>
      </c>
      <c r="M15" s="6" t="s">
        <v>16</v>
      </c>
      <c r="N15" s="14">
        <f>4/B25</f>
        <v>127.32365673542144</v>
      </c>
      <c r="O15" s="7">
        <f>0/B26</f>
        <v>0</v>
      </c>
      <c r="P15" s="2">
        <f>7/B25</f>
        <v>222.81639928698752</v>
      </c>
      <c r="Q15" s="7">
        <f>1/B26</f>
        <v>10.610304727951787</v>
      </c>
    </row>
    <row r="16" spans="1:17" x14ac:dyDescent="0.2">
      <c r="A16" s="6" t="s">
        <v>17</v>
      </c>
      <c r="B16" s="17" t="s">
        <v>24</v>
      </c>
      <c r="C16" s="18" t="s">
        <v>24</v>
      </c>
      <c r="D16" s="2">
        <f>2/B25</f>
        <v>63.661828367710719</v>
      </c>
      <c r="E16" s="7">
        <f>1/B26</f>
        <v>10.610304727951787</v>
      </c>
      <c r="F16" s="2"/>
      <c r="G16" s="6" t="s">
        <v>17</v>
      </c>
      <c r="H16" s="14">
        <f>7/B25</f>
        <v>222.81639928698752</v>
      </c>
      <c r="I16" s="7">
        <f>10/B26</f>
        <v>106.10304727951787</v>
      </c>
      <c r="J16" s="2">
        <f>15/B25</f>
        <v>477.46371275783042</v>
      </c>
      <c r="K16" s="7">
        <f>1/B26</f>
        <v>10.610304727951787</v>
      </c>
      <c r="M16" s="6" t="s">
        <v>17</v>
      </c>
      <c r="N16" s="14">
        <f>6/B25</f>
        <v>190.98548510313216</v>
      </c>
      <c r="O16" s="7">
        <f>2/B26</f>
        <v>21.220609455903574</v>
      </c>
      <c r="P16" s="2">
        <f>8/B25</f>
        <v>254.64731347084287</v>
      </c>
      <c r="Q16" s="7">
        <f>1/B26</f>
        <v>10.610304727951787</v>
      </c>
    </row>
    <row r="17" spans="1:29" x14ac:dyDescent="0.2">
      <c r="A17" s="6" t="s">
        <v>18</v>
      </c>
      <c r="B17" s="14">
        <f>10/B25</f>
        <v>318.30914183855361</v>
      </c>
      <c r="C17" s="7">
        <f>0/B26</f>
        <v>0</v>
      </c>
      <c r="D17" s="2">
        <f>16/B25</f>
        <v>509.29462694168575</v>
      </c>
      <c r="E17" s="7">
        <f>1/B26</f>
        <v>10.610304727951787</v>
      </c>
      <c r="F17" s="2"/>
      <c r="G17" s="6" t="s">
        <v>18</v>
      </c>
      <c r="H17" s="14">
        <f>0/B25</f>
        <v>0</v>
      </c>
      <c r="I17" s="7">
        <f>0/B26</f>
        <v>0</v>
      </c>
      <c r="J17" s="2">
        <f>2/B25</f>
        <v>63.661828367710719</v>
      </c>
      <c r="K17" s="7">
        <f>2/B26</f>
        <v>21.220609455903574</v>
      </c>
      <c r="M17" s="6" t="s">
        <v>18</v>
      </c>
      <c r="N17" s="14">
        <f>4/B25</f>
        <v>127.32365673542144</v>
      </c>
      <c r="O17" s="7">
        <f>2/B26</f>
        <v>21.220609455903574</v>
      </c>
      <c r="P17" s="17" t="s">
        <v>24</v>
      </c>
      <c r="Q17" s="18" t="s">
        <v>24</v>
      </c>
    </row>
    <row r="18" spans="1:29" x14ac:dyDescent="0.2">
      <c r="A18" s="6" t="s">
        <v>19</v>
      </c>
      <c r="B18" s="14">
        <f>10/B25</f>
        <v>318.30914183855361</v>
      </c>
      <c r="C18" s="7">
        <f>1/B26</f>
        <v>10.610304727951787</v>
      </c>
      <c r="D18" s="2">
        <f>10/B25</f>
        <v>318.30914183855361</v>
      </c>
      <c r="E18" s="7">
        <f>2/B26</f>
        <v>21.220609455903574</v>
      </c>
      <c r="F18" s="2"/>
      <c r="G18" s="6" t="s">
        <v>19</v>
      </c>
      <c r="H18" s="14">
        <f>30/B25</f>
        <v>954.92742551566084</v>
      </c>
      <c r="I18" s="7">
        <f>6/B26</f>
        <v>63.661828367710719</v>
      </c>
      <c r="J18" s="2">
        <f>28/B25</f>
        <v>891.26559714795007</v>
      </c>
      <c r="K18" s="7">
        <f>2/B26</f>
        <v>21.220609455903574</v>
      </c>
      <c r="M18" s="6" t="s">
        <v>19</v>
      </c>
      <c r="N18" s="14">
        <f>5/B25</f>
        <v>159.15457091927681</v>
      </c>
      <c r="O18" s="7">
        <f>2/B26</f>
        <v>21.220609455903574</v>
      </c>
      <c r="P18" s="2">
        <f>6/B25</f>
        <v>190.98548510313216</v>
      </c>
      <c r="Q18" s="7">
        <f>5/B26</f>
        <v>53.051523639758933</v>
      </c>
    </row>
    <row r="19" spans="1:29" x14ac:dyDescent="0.2">
      <c r="A19" s="8" t="s">
        <v>20</v>
      </c>
      <c r="B19" s="15">
        <f>48/B25</f>
        <v>1527.8838808250573</v>
      </c>
      <c r="C19" s="10">
        <f>15/B26</f>
        <v>159.15457091927681</v>
      </c>
      <c r="D19" s="58" t="s">
        <v>24</v>
      </c>
      <c r="E19" s="40" t="s">
        <v>24</v>
      </c>
      <c r="F19" s="2"/>
      <c r="G19" s="8" t="s">
        <v>20</v>
      </c>
      <c r="H19" s="15">
        <f>33/B25</f>
        <v>1050.420168067227</v>
      </c>
      <c r="I19" s="10">
        <f>1/B26</f>
        <v>10.610304727951787</v>
      </c>
      <c r="J19" s="9">
        <f>29/B25</f>
        <v>923.09651133180546</v>
      </c>
      <c r="K19" s="10">
        <f>0/B26</f>
        <v>0</v>
      </c>
      <c r="M19" s="8" t="s">
        <v>20</v>
      </c>
      <c r="N19" s="15">
        <f>14/B25</f>
        <v>445.63279857397504</v>
      </c>
      <c r="O19" s="10">
        <f>26/B26</f>
        <v>275.86792292674647</v>
      </c>
      <c r="P19" s="9">
        <f>33/B25</f>
        <v>1050.420168067227</v>
      </c>
      <c r="Q19" s="10">
        <f>3/B26</f>
        <v>31.830914183855359</v>
      </c>
    </row>
    <row r="20" spans="1:29" x14ac:dyDescent="0.2">
      <c r="A20" s="1"/>
      <c r="B20" s="2"/>
      <c r="C20" s="2"/>
      <c r="D20" s="2"/>
      <c r="E20" s="2"/>
      <c r="F20" s="2"/>
      <c r="G20" s="2"/>
    </row>
    <row r="21" spans="1:29" x14ac:dyDescent="0.2">
      <c r="A21" s="1" t="s">
        <v>25</v>
      </c>
      <c r="B21" s="2"/>
      <c r="C21" s="2"/>
      <c r="D21" s="2"/>
      <c r="E21" s="2"/>
      <c r="F21" s="2"/>
      <c r="G21" s="29" t="s">
        <v>0</v>
      </c>
      <c r="H21" s="27" t="s">
        <v>1</v>
      </c>
      <c r="I21" s="16" t="s">
        <v>2</v>
      </c>
      <c r="J21" s="27" t="s">
        <v>5</v>
      </c>
      <c r="K21" s="16" t="s">
        <v>6</v>
      </c>
      <c r="L21" s="28" t="s">
        <v>9</v>
      </c>
      <c r="M21" s="16" t="s">
        <v>10</v>
      </c>
    </row>
    <row r="22" spans="1:29" x14ac:dyDescent="0.2">
      <c r="A22" s="1" t="s">
        <v>26</v>
      </c>
      <c r="G22" s="30" t="s">
        <v>18</v>
      </c>
      <c r="H22" s="17" t="s">
        <v>24</v>
      </c>
      <c r="I22" s="18" t="s">
        <v>24</v>
      </c>
      <c r="J22" s="32">
        <f>1/B25</f>
        <v>31.830914183855359</v>
      </c>
      <c r="K22" s="25">
        <f>1/B26</f>
        <v>10.610304727951787</v>
      </c>
      <c r="L22" s="17" t="s">
        <v>24</v>
      </c>
      <c r="M22" s="18" t="s">
        <v>24</v>
      </c>
    </row>
    <row r="23" spans="1:29" x14ac:dyDescent="0.2">
      <c r="G23" s="30" t="s">
        <v>19</v>
      </c>
      <c r="H23" s="32">
        <f>0/B25</f>
        <v>0</v>
      </c>
      <c r="I23" s="25">
        <f>0/B26</f>
        <v>0</v>
      </c>
      <c r="J23" s="32">
        <f>101/B25</f>
        <v>3214.9223325693915</v>
      </c>
      <c r="K23" s="25">
        <f>7/B26</f>
        <v>74.272133095662511</v>
      </c>
      <c r="L23" s="17" t="s">
        <v>24</v>
      </c>
      <c r="M23" s="18" t="s">
        <v>24</v>
      </c>
    </row>
    <row r="24" spans="1:29" x14ac:dyDescent="0.2">
      <c r="A24" s="1" t="s">
        <v>28</v>
      </c>
      <c r="B24" s="2"/>
      <c r="C24" s="2"/>
      <c r="G24" s="31" t="s">
        <v>20</v>
      </c>
      <c r="H24" s="58" t="s">
        <v>24</v>
      </c>
      <c r="I24" s="40" t="s">
        <v>24</v>
      </c>
      <c r="J24" s="33">
        <f>70/B25</f>
        <v>2228.1639928698751</v>
      </c>
      <c r="K24" s="26">
        <f>4/B26</f>
        <v>42.441218911807148</v>
      </c>
      <c r="L24" s="58" t="s">
        <v>24</v>
      </c>
      <c r="M24" s="40" t="s">
        <v>24</v>
      </c>
    </row>
    <row r="25" spans="1:29" x14ac:dyDescent="0.2">
      <c r="A25" s="1" t="s">
        <v>29</v>
      </c>
      <c r="B25" s="1">
        <v>3.1415999999999999E-2</v>
      </c>
      <c r="C25" s="1" t="s">
        <v>30</v>
      </c>
    </row>
    <row r="26" spans="1:29" x14ac:dyDescent="0.2">
      <c r="A26" s="1" t="s">
        <v>31</v>
      </c>
      <c r="B26" s="1">
        <v>9.4247999999999998E-2</v>
      </c>
      <c r="C26" s="1" t="s">
        <v>30</v>
      </c>
      <c r="G26" s="29" t="s">
        <v>22</v>
      </c>
      <c r="H26" s="27" t="s">
        <v>1</v>
      </c>
      <c r="I26" s="16" t="s">
        <v>2</v>
      </c>
      <c r="J26" s="27" t="s">
        <v>5</v>
      </c>
      <c r="K26" s="16" t="s">
        <v>6</v>
      </c>
      <c r="L26" s="28" t="s">
        <v>9</v>
      </c>
      <c r="M26" s="16" t="s">
        <v>10</v>
      </c>
    </row>
    <row r="27" spans="1:29" x14ac:dyDescent="0.2">
      <c r="G27" s="30" t="s">
        <v>18</v>
      </c>
      <c r="H27" s="32">
        <f>13/B25</f>
        <v>413.80188439011971</v>
      </c>
      <c r="I27" s="25">
        <f>12/B26</f>
        <v>127.32365673542144</v>
      </c>
      <c r="J27" s="2">
        <f>44/B25</f>
        <v>1400.5602240896358</v>
      </c>
      <c r="K27" s="7">
        <f>14/B26</f>
        <v>148.54426619132502</v>
      </c>
      <c r="L27" s="2">
        <f>7/B25</f>
        <v>222.81639928698752</v>
      </c>
      <c r="M27" s="7">
        <f>3/B26</f>
        <v>31.830914183855359</v>
      </c>
    </row>
    <row r="28" spans="1:29" x14ac:dyDescent="0.2">
      <c r="A28" s="1" t="s">
        <v>32</v>
      </c>
      <c r="B28" s="1" t="s">
        <v>33</v>
      </c>
      <c r="C28" s="1" t="s">
        <v>34</v>
      </c>
      <c r="D28" s="1"/>
      <c r="E28" s="1"/>
      <c r="G28" s="30" t="s">
        <v>19</v>
      </c>
      <c r="H28" s="32">
        <f>13/B25</f>
        <v>413.80188439011971</v>
      </c>
      <c r="I28" s="25">
        <f>1/B26</f>
        <v>10.610304727951787</v>
      </c>
      <c r="J28" s="2">
        <f>239/B25</f>
        <v>7607.5884899414314</v>
      </c>
      <c r="K28" s="7">
        <f>45/B26</f>
        <v>477.46371275783042</v>
      </c>
      <c r="L28" s="43">
        <f>1/B25</f>
        <v>31.830914183855359</v>
      </c>
      <c r="M28" s="44">
        <f>2/B26</f>
        <v>21.220609455903574</v>
      </c>
    </row>
    <row r="29" spans="1:29" x14ac:dyDescent="0.2">
      <c r="A29" s="1" t="s">
        <v>13</v>
      </c>
      <c r="B29" s="61">
        <v>9.6306000000000003E-2</v>
      </c>
      <c r="C29" s="1">
        <v>0.90982300000000005</v>
      </c>
      <c r="D29" s="1"/>
      <c r="E29" s="1"/>
      <c r="G29" s="31" t="s">
        <v>20</v>
      </c>
      <c r="H29" s="33">
        <f>0/B25</f>
        <v>0</v>
      </c>
      <c r="I29" s="26">
        <f>2/B26</f>
        <v>21.220609455903574</v>
      </c>
      <c r="J29" s="39">
        <f>0/B25</f>
        <v>0</v>
      </c>
      <c r="K29" s="40">
        <f>0/B26</f>
        <v>0</v>
      </c>
      <c r="L29" s="9">
        <f>8/B25</f>
        <v>254.64731347084287</v>
      </c>
      <c r="M29" s="10">
        <f>0/B26</f>
        <v>0</v>
      </c>
    </row>
    <row r="30" spans="1:29" x14ac:dyDescent="0.2">
      <c r="A30" s="1" t="s">
        <v>14</v>
      </c>
      <c r="B30" s="57">
        <v>1.1546000000000001E-2</v>
      </c>
      <c r="C30" s="1">
        <v>0.77674200000000004</v>
      </c>
      <c r="D30" s="1" t="s">
        <v>42</v>
      </c>
      <c r="E30" s="1"/>
    </row>
    <row r="31" spans="1:29" x14ac:dyDescent="0.2">
      <c r="A31" s="1" t="s">
        <v>15</v>
      </c>
      <c r="B31" s="1">
        <v>0.54349599999999998</v>
      </c>
      <c r="C31" s="1">
        <v>0.87429699999999999</v>
      </c>
      <c r="D31" s="1"/>
      <c r="E31" s="1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spans="1:29" x14ac:dyDescent="0.2">
      <c r="A32" s="1" t="s">
        <v>16</v>
      </c>
      <c r="B32" s="1">
        <v>0.33355200000000002</v>
      </c>
      <c r="C32" s="1">
        <v>0.760127</v>
      </c>
      <c r="D32" s="1"/>
      <c r="E32" s="1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spans="1:29" x14ac:dyDescent="0.2">
      <c r="A33" s="1" t="s">
        <v>17</v>
      </c>
      <c r="B33" s="1">
        <v>0.52512800000000004</v>
      </c>
      <c r="C33" s="1">
        <v>0.78716299999999995</v>
      </c>
      <c r="D33" s="1" t="s">
        <v>39</v>
      </c>
      <c r="E33" s="1" t="s">
        <v>39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29" x14ac:dyDescent="0.2">
      <c r="A34" s="1" t="s">
        <v>18</v>
      </c>
      <c r="B34" s="57">
        <v>9.3300000000000002E-4</v>
      </c>
      <c r="C34" s="1">
        <v>0.97746100000000002</v>
      </c>
      <c r="D34" s="1" t="s">
        <v>46</v>
      </c>
      <c r="F34" s="1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29" x14ac:dyDescent="0.2">
      <c r="A35" s="1" t="s">
        <v>19</v>
      </c>
      <c r="B35" s="63">
        <v>0.102476</v>
      </c>
      <c r="C35" s="1">
        <v>0.80345699999999998</v>
      </c>
      <c r="D35" s="1">
        <v>0.91117800000000004</v>
      </c>
      <c r="E35" s="1">
        <v>0.98698699999999995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1:29" x14ac:dyDescent="0.2">
      <c r="A36" s="1" t="s">
        <v>20</v>
      </c>
      <c r="B36" s="57">
        <v>6.0700000000000001E-4</v>
      </c>
      <c r="C36" s="1">
        <v>0.84026100000000004</v>
      </c>
      <c r="D36" s="1" t="s">
        <v>46</v>
      </c>
      <c r="E36" s="1"/>
      <c r="F36" s="1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x14ac:dyDescent="0.2">
      <c r="A37" s="38"/>
      <c r="B37" s="1"/>
      <c r="C37" s="1"/>
      <c r="D37" s="1"/>
      <c r="E37" s="1"/>
      <c r="F37" s="1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spans="1:29" x14ac:dyDescent="0.2">
      <c r="A38" s="38"/>
      <c r="B38" s="1"/>
      <c r="C38" s="1"/>
      <c r="D38" s="1"/>
      <c r="E38" s="1"/>
      <c r="F38" s="1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spans="1:29" x14ac:dyDescent="0.2">
      <c r="A39" s="59" t="s">
        <v>24</v>
      </c>
      <c r="B39" s="38" t="s">
        <v>47</v>
      </c>
      <c r="C39" s="38"/>
      <c r="D39" s="1"/>
      <c r="E39" s="1"/>
      <c r="F39" s="1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x14ac:dyDescent="0.2">
      <c r="A40" s="38">
        <v>0</v>
      </c>
      <c r="B40" s="38" t="s">
        <v>48</v>
      </c>
      <c r="C40" s="38"/>
      <c r="D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x14ac:dyDescent="0.2">
      <c r="A41" s="38"/>
      <c r="B41" s="38"/>
      <c r="C41" s="38"/>
      <c r="D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x14ac:dyDescent="0.2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x14ac:dyDescent="0.2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x14ac:dyDescent="0.2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x14ac:dyDescent="0.2"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x14ac:dyDescent="0.2"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2"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x14ac:dyDescent="0.2"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x14ac:dyDescent="0.2"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x14ac:dyDescent="0.2">
      <c r="O64" s="38"/>
      <c r="P64" s="38"/>
      <c r="Q64" s="38"/>
      <c r="S64" s="38"/>
      <c r="W64" s="38"/>
      <c r="X64" s="38"/>
      <c r="AB64" s="38"/>
      <c r="AC64" s="38"/>
    </row>
    <row r="65" spans="15:29" x14ac:dyDescent="0.2">
      <c r="O65" s="38"/>
      <c r="P65" s="38"/>
      <c r="Q65" s="38"/>
      <c r="S65" s="38"/>
      <c r="W65" s="38"/>
      <c r="X65" s="38"/>
      <c r="AB65" s="38"/>
      <c r="AC65" s="38"/>
    </row>
    <row r="66" spans="15:29" x14ac:dyDescent="0.2">
      <c r="O66" s="38"/>
      <c r="P66" s="38"/>
      <c r="Q66" s="38"/>
      <c r="S66" s="38"/>
      <c r="W66" s="38"/>
      <c r="X66" s="38"/>
      <c r="AB66" s="38"/>
      <c r="AC66" s="38"/>
    </row>
    <row r="67" spans="15:29" x14ac:dyDescent="0.2">
      <c r="O67" s="38"/>
      <c r="P67" s="38"/>
      <c r="Q67" s="38"/>
      <c r="S67" s="38"/>
      <c r="W67" s="38"/>
      <c r="X67" s="38"/>
      <c r="AB67" s="38"/>
      <c r="AC67" s="38"/>
    </row>
    <row r="68" spans="15:29" x14ac:dyDescent="0.2">
      <c r="O68" s="38"/>
      <c r="P68" s="38"/>
      <c r="Q68" s="38"/>
      <c r="S68" s="38"/>
      <c r="W68" s="38"/>
      <c r="X68" s="38"/>
      <c r="AB68" s="38"/>
      <c r="AC68" s="38"/>
    </row>
    <row r="69" spans="15:29" x14ac:dyDescent="0.2">
      <c r="O69" s="38"/>
      <c r="P69" s="38"/>
      <c r="Q69" s="38"/>
      <c r="S69" s="38"/>
      <c r="W69" s="38"/>
      <c r="X69" s="38"/>
      <c r="AB69" s="38"/>
      <c r="AC69" s="38"/>
    </row>
    <row r="70" spans="15:29" x14ac:dyDescent="0.2">
      <c r="W70" s="38"/>
      <c r="X70" s="38"/>
      <c r="AB70" s="38"/>
      <c r="AC70" s="38"/>
    </row>
    <row r="71" spans="15:29" x14ac:dyDescent="0.2">
      <c r="W71" s="38"/>
      <c r="X71" s="38"/>
      <c r="AB71" s="38"/>
      <c r="AC71" s="38"/>
    </row>
    <row r="72" spans="15:29" x14ac:dyDescent="0.2">
      <c r="W72" s="38"/>
      <c r="X72" s="38"/>
      <c r="AB72" s="38"/>
      <c r="AC72" s="38"/>
    </row>
    <row r="73" spans="15:29" x14ac:dyDescent="0.2">
      <c r="W73" s="38"/>
      <c r="X73" s="38"/>
      <c r="AB73" s="38"/>
      <c r="AC73" s="38"/>
    </row>
    <row r="74" spans="15:29" x14ac:dyDescent="0.2">
      <c r="W74" s="38"/>
      <c r="X74" s="38"/>
      <c r="AB74" s="38"/>
      <c r="AC74" s="38"/>
    </row>
    <row r="75" spans="15:29" x14ac:dyDescent="0.2">
      <c r="W75" s="38"/>
      <c r="X75" s="38"/>
      <c r="AB75" s="38"/>
      <c r="AC75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E12C-3D81-934C-9015-2869CEF8891F}">
  <dimension ref="A1:S37"/>
  <sheetViews>
    <sheetView topLeftCell="F8" zoomScale="135" zoomScaleNormal="100" workbookViewId="0">
      <selection activeCell="L28" sqref="L28:M30"/>
    </sheetView>
  </sheetViews>
  <sheetFormatPr baseColWidth="10" defaultColWidth="11" defaultRowHeight="16" x14ac:dyDescent="0.2"/>
  <cols>
    <col min="1" max="1" width="17" customWidth="1"/>
  </cols>
  <sheetData>
    <row r="1" spans="1:18" x14ac:dyDescent="0.2">
      <c r="A1" s="3" t="s">
        <v>0</v>
      </c>
      <c r="B1" s="3" t="s">
        <v>1</v>
      </c>
      <c r="C1" s="5" t="s">
        <v>2</v>
      </c>
      <c r="D1" s="4" t="s">
        <v>3</v>
      </c>
      <c r="E1" s="16" t="s">
        <v>4</v>
      </c>
      <c r="G1" s="3" t="s">
        <v>0</v>
      </c>
      <c r="H1" s="3" t="s">
        <v>5</v>
      </c>
      <c r="I1" s="5" t="s">
        <v>6</v>
      </c>
      <c r="J1" s="4" t="s">
        <v>7</v>
      </c>
      <c r="K1" s="16" t="s">
        <v>8</v>
      </c>
      <c r="M1" s="3" t="s">
        <v>0</v>
      </c>
      <c r="N1" s="3" t="s">
        <v>9</v>
      </c>
      <c r="O1" s="5" t="s">
        <v>10</v>
      </c>
      <c r="P1" s="4" t="s">
        <v>11</v>
      </c>
      <c r="Q1" s="16" t="s">
        <v>12</v>
      </c>
    </row>
    <row r="2" spans="1:18" x14ac:dyDescent="0.2">
      <c r="A2" s="3" t="s">
        <v>13</v>
      </c>
      <c r="B2" s="13">
        <f>40/B22</f>
        <v>1273.2365673542145</v>
      </c>
      <c r="C2" s="12">
        <f>92/B23</f>
        <v>976.14803497156436</v>
      </c>
      <c r="D2" s="11">
        <f>46/B22</f>
        <v>1464.2220524573465</v>
      </c>
      <c r="E2" s="12">
        <f>117/B23</f>
        <v>1241.4056531703591</v>
      </c>
      <c r="F2" s="2"/>
      <c r="G2" s="3" t="s">
        <v>13</v>
      </c>
      <c r="H2" s="13">
        <f>30/B22</f>
        <v>954.92742551566084</v>
      </c>
      <c r="I2" s="12">
        <f>81/B23</f>
        <v>859.43468296409469</v>
      </c>
      <c r="J2" s="11">
        <f>47/B22</f>
        <v>1496.0529666412019</v>
      </c>
      <c r="K2" s="12">
        <f>123/B23</f>
        <v>1305.0674815380698</v>
      </c>
      <c r="L2" s="2"/>
      <c r="M2" s="3" t="s">
        <v>13</v>
      </c>
      <c r="N2" s="13">
        <f>34/B22</f>
        <v>1082.2510822510824</v>
      </c>
      <c r="O2" s="12">
        <f>80/B23</f>
        <v>848.82437823614293</v>
      </c>
      <c r="P2" s="11">
        <f>23/B22</f>
        <v>732.11102622867327</v>
      </c>
      <c r="Q2" s="12">
        <f>72/B23</f>
        <v>763.94194041252865</v>
      </c>
      <c r="R2" s="2"/>
    </row>
    <row r="3" spans="1:18" x14ac:dyDescent="0.2">
      <c r="A3" s="6" t="s">
        <v>14</v>
      </c>
      <c r="B3" s="14">
        <f>71/B22</f>
        <v>2259.9949070537305</v>
      </c>
      <c r="C3" s="7">
        <f>97/B23</f>
        <v>1029.1995586113233</v>
      </c>
      <c r="D3" s="2">
        <f>36/B22</f>
        <v>1145.9129106187929</v>
      </c>
      <c r="E3" s="7">
        <f>96/B23</f>
        <v>1018.5892538833715</v>
      </c>
      <c r="F3" s="2"/>
      <c r="G3" s="6" t="s">
        <v>14</v>
      </c>
      <c r="H3" s="14">
        <f>63/B22</f>
        <v>2005.3475935828878</v>
      </c>
      <c r="I3" s="7">
        <f>90/B23</f>
        <v>954.92742551566084</v>
      </c>
      <c r="J3" s="2">
        <f>36/B22</f>
        <v>1145.9129106187929</v>
      </c>
      <c r="K3" s="7">
        <f>102/B23</f>
        <v>1082.2510822510824</v>
      </c>
      <c r="L3" s="2"/>
      <c r="M3" s="6" t="s">
        <v>14</v>
      </c>
      <c r="N3" s="14">
        <f>62/B22</f>
        <v>1973.5166793990325</v>
      </c>
      <c r="O3" s="7">
        <f>107/B23</f>
        <v>1135.3026058908413</v>
      </c>
      <c r="P3" s="2">
        <f>30/B22</f>
        <v>954.92742551566084</v>
      </c>
      <c r="Q3" s="7">
        <f>67/B23</f>
        <v>710.89041677276975</v>
      </c>
      <c r="R3" s="2"/>
    </row>
    <row r="4" spans="1:18" x14ac:dyDescent="0.2">
      <c r="A4" s="6" t="s">
        <v>15</v>
      </c>
      <c r="B4" s="14">
        <f>43/B22</f>
        <v>1368.7293099057806</v>
      </c>
      <c r="C4" s="7">
        <f>100/B23</f>
        <v>1061.0304727951786</v>
      </c>
      <c r="D4" s="2">
        <f>85/B22</f>
        <v>2705.6277056277058</v>
      </c>
      <c r="E4" s="7">
        <f>204/B23</f>
        <v>2164.5021645021648</v>
      </c>
      <c r="F4" s="2"/>
      <c r="G4" s="6" t="s">
        <v>15</v>
      </c>
      <c r="H4" s="14">
        <f>41/B22</f>
        <v>1305.0674815380698</v>
      </c>
      <c r="I4" s="7">
        <f>83/B23</f>
        <v>880.65529241999832</v>
      </c>
      <c r="J4" s="2">
        <f>84/B22</f>
        <v>2673.7967914438505</v>
      </c>
      <c r="K4" s="7">
        <f>193/B23</f>
        <v>2047.7888124946949</v>
      </c>
      <c r="L4" s="2"/>
      <c r="M4" s="6" t="s">
        <v>15</v>
      </c>
      <c r="N4" s="14">
        <f>45/B22</f>
        <v>1432.3911382734912</v>
      </c>
      <c r="O4" s="7">
        <f>78/B23</f>
        <v>827.60376878023942</v>
      </c>
      <c r="P4" s="2">
        <f>140/B22</f>
        <v>4456.3279857397501</v>
      </c>
      <c r="Q4" s="7">
        <f>227/B23</f>
        <v>2408.5391732450557</v>
      </c>
      <c r="R4" s="2"/>
    </row>
    <row r="5" spans="1:18" x14ac:dyDescent="0.2">
      <c r="A5" s="6" t="s">
        <v>16</v>
      </c>
      <c r="B5" s="14">
        <f>64/B22</f>
        <v>2037.178507766743</v>
      </c>
      <c r="C5" s="7">
        <f>139/B23</f>
        <v>1474.8323571852984</v>
      </c>
      <c r="D5" s="2">
        <f>94/B22</f>
        <v>2992.1059332824038</v>
      </c>
      <c r="E5" s="7">
        <f>114/B23</f>
        <v>1209.5747389865037</v>
      </c>
      <c r="F5" s="2"/>
      <c r="G5" s="6" t="s">
        <v>16</v>
      </c>
      <c r="H5" s="14">
        <f>56/B22</f>
        <v>1782.5311942959001</v>
      </c>
      <c r="I5" s="7">
        <f>122/B23</f>
        <v>1294.457176810118</v>
      </c>
      <c r="J5" s="2">
        <f>97/B22</f>
        <v>3087.59867583397</v>
      </c>
      <c r="K5" s="7">
        <f>122/B23</f>
        <v>1294.457176810118</v>
      </c>
      <c r="L5" s="2"/>
      <c r="M5" s="6" t="s">
        <v>16</v>
      </c>
      <c r="N5" s="14">
        <f>113/B22</f>
        <v>3596.8933027756557</v>
      </c>
      <c r="O5" s="7">
        <f>163/B23</f>
        <v>1729.4796706561413</v>
      </c>
      <c r="P5" s="2">
        <f>125/B22</f>
        <v>3978.8642729819203</v>
      </c>
      <c r="Q5" s="7">
        <f>152/B23</f>
        <v>1612.7663186486716</v>
      </c>
      <c r="R5" s="2"/>
    </row>
    <row r="6" spans="1:18" x14ac:dyDescent="0.2">
      <c r="A6" s="6" t="s">
        <v>17</v>
      </c>
      <c r="B6" s="14">
        <f>107/B22</f>
        <v>3405.9078176725238</v>
      </c>
      <c r="C6" s="7">
        <f>140/B23</f>
        <v>1485.4426619132503</v>
      </c>
      <c r="D6" s="2">
        <f>49/B22</f>
        <v>1559.7147950089127</v>
      </c>
      <c r="E6" s="7">
        <f>98/B23</f>
        <v>1039.8098633392751</v>
      </c>
      <c r="F6" s="2"/>
      <c r="G6" s="6" t="s">
        <v>17</v>
      </c>
      <c r="H6" s="14">
        <f>17/B22</f>
        <v>541.12554112554119</v>
      </c>
      <c r="I6" s="7">
        <f>52/B23</f>
        <v>551.73584585349295</v>
      </c>
      <c r="J6" s="2">
        <f>20/B22</f>
        <v>636.61828367710723</v>
      </c>
      <c r="K6" s="7">
        <f>38/B23</f>
        <v>403.1915796621679</v>
      </c>
      <c r="L6" s="2"/>
      <c r="M6" s="6" t="s">
        <v>17</v>
      </c>
      <c r="N6" s="14">
        <f>72/B22</f>
        <v>2291.8258212375858</v>
      </c>
      <c r="O6" s="7">
        <f>158/B23</f>
        <v>1676.4281470163824</v>
      </c>
      <c r="P6" s="2">
        <f>25/B22</f>
        <v>795.77285459638404</v>
      </c>
      <c r="Q6" s="7">
        <f>56/B23</f>
        <v>594.17706476530009</v>
      </c>
      <c r="R6" s="2"/>
    </row>
    <row r="7" spans="1:18" x14ac:dyDescent="0.2">
      <c r="A7" s="6" t="s">
        <v>18</v>
      </c>
      <c r="B7" s="14">
        <f>15/B22</f>
        <v>477.46371275783042</v>
      </c>
      <c r="C7" s="7">
        <f>39/B23</f>
        <v>413.80188439011971</v>
      </c>
      <c r="D7" s="34" t="s">
        <v>24</v>
      </c>
      <c r="E7" s="35" t="s">
        <v>24</v>
      </c>
      <c r="F7" s="2"/>
      <c r="G7" s="6" t="s">
        <v>18</v>
      </c>
      <c r="H7" s="36" t="s">
        <v>24</v>
      </c>
      <c r="I7" s="35" t="s">
        <v>24</v>
      </c>
      <c r="J7" s="2">
        <f>43/B22</f>
        <v>1368.7293099057806</v>
      </c>
      <c r="K7" s="7">
        <f>92/B23</f>
        <v>976.14803497156436</v>
      </c>
      <c r="L7" s="2"/>
      <c r="M7" s="6" t="s">
        <v>18</v>
      </c>
      <c r="N7" s="14">
        <f>32/B22</f>
        <v>1018.5892538833715</v>
      </c>
      <c r="O7" s="7">
        <f>40/B23</f>
        <v>424.41218911807147</v>
      </c>
      <c r="P7" s="34" t="s">
        <v>24</v>
      </c>
      <c r="Q7" s="35" t="s">
        <v>24</v>
      </c>
      <c r="R7" s="2"/>
    </row>
    <row r="8" spans="1:18" x14ac:dyDescent="0.2">
      <c r="A8" s="6" t="s">
        <v>19</v>
      </c>
      <c r="B8" s="14">
        <f>47/B22</f>
        <v>1496.0529666412019</v>
      </c>
      <c r="C8" s="7">
        <f>62/B23</f>
        <v>657.83889313301074</v>
      </c>
      <c r="D8" s="2">
        <f>42/B22</f>
        <v>1336.8983957219252</v>
      </c>
      <c r="E8" s="7">
        <f>96/B23</f>
        <v>1018.5892538833715</v>
      </c>
      <c r="F8" s="2"/>
      <c r="G8" s="6" t="s">
        <v>19</v>
      </c>
      <c r="H8" s="36" t="s">
        <v>24</v>
      </c>
      <c r="I8" s="35" t="s">
        <v>24</v>
      </c>
      <c r="J8" s="2">
        <f>44/B22</f>
        <v>1400.5602240896358</v>
      </c>
      <c r="K8" s="7">
        <f>60/B23</f>
        <v>636.61828367710723</v>
      </c>
      <c r="L8" s="2"/>
      <c r="M8" s="6" t="s">
        <v>19</v>
      </c>
      <c r="N8" s="14">
        <f>19/B22</f>
        <v>604.78736949325184</v>
      </c>
      <c r="O8" s="7">
        <f>61/B23</f>
        <v>647.22858840505899</v>
      </c>
      <c r="P8" s="2">
        <f>21/B22</f>
        <v>668.44919786096261</v>
      </c>
      <c r="Q8" s="7">
        <f>58/B23</f>
        <v>615.3976742212036</v>
      </c>
      <c r="R8" s="2"/>
    </row>
    <row r="9" spans="1:18" x14ac:dyDescent="0.2">
      <c r="A9" s="8" t="s">
        <v>20</v>
      </c>
      <c r="B9" s="15">
        <f>62/B22</f>
        <v>1973.5166793990325</v>
      </c>
      <c r="C9" s="10">
        <f>91/B23</f>
        <v>965.5377302436126</v>
      </c>
      <c r="D9" s="9">
        <f>68/B22</f>
        <v>2164.5021645021648</v>
      </c>
      <c r="E9" s="10">
        <f>98/B23</f>
        <v>1039.8098633392751</v>
      </c>
      <c r="F9" s="2"/>
      <c r="G9" s="8" t="s">
        <v>20</v>
      </c>
      <c r="H9" s="15">
        <f>57/B22</f>
        <v>1814.3621084797555</v>
      </c>
      <c r="I9" s="10">
        <f>89/B23</f>
        <v>944.31712078770909</v>
      </c>
      <c r="J9" s="9">
        <f>19/B22</f>
        <v>604.78736949325184</v>
      </c>
      <c r="K9" s="10">
        <f>151/B23</f>
        <v>1602.1560139207199</v>
      </c>
      <c r="L9" s="2"/>
      <c r="M9" s="8" t="s">
        <v>20</v>
      </c>
      <c r="N9" s="15">
        <f>41/B22</f>
        <v>1305.0674815380698</v>
      </c>
      <c r="O9" s="10">
        <f>90/B23</f>
        <v>954.92742551566084</v>
      </c>
      <c r="P9" s="9">
        <f>106/B22</f>
        <v>3374.0769034886684</v>
      </c>
      <c r="Q9" s="10">
        <f>137/B23</f>
        <v>1453.6117477293949</v>
      </c>
      <c r="R9" s="2"/>
    </row>
    <row r="10" spans="1:18" x14ac:dyDescent="0.2">
      <c r="A10" s="2"/>
      <c r="B10" s="2"/>
      <c r="C10" s="2" t="s">
        <v>21</v>
      </c>
      <c r="D10" s="2"/>
      <c r="E10" s="2"/>
      <c r="F10" s="2"/>
      <c r="G10" s="2"/>
      <c r="L10" s="2"/>
      <c r="R10" s="2"/>
    </row>
    <row r="11" spans="1:18" x14ac:dyDescent="0.2">
      <c r="A11" s="3" t="s">
        <v>22</v>
      </c>
      <c r="B11" s="3" t="s">
        <v>1</v>
      </c>
      <c r="C11" s="5" t="s">
        <v>2</v>
      </c>
      <c r="D11" s="4" t="s">
        <v>3</v>
      </c>
      <c r="E11" s="16" t="s">
        <v>4</v>
      </c>
      <c r="F11" s="2"/>
      <c r="G11" s="3" t="s">
        <v>22</v>
      </c>
      <c r="H11" s="3" t="s">
        <v>5</v>
      </c>
      <c r="I11" s="5" t="s">
        <v>6</v>
      </c>
      <c r="J11" s="4" t="s">
        <v>7</v>
      </c>
      <c r="K11" s="16" t="s">
        <v>8</v>
      </c>
      <c r="L11" s="2"/>
      <c r="M11" s="3" t="s">
        <v>22</v>
      </c>
      <c r="N11" s="3" t="s">
        <v>9</v>
      </c>
      <c r="O11" s="5" t="s">
        <v>10</v>
      </c>
      <c r="P11" s="4" t="s">
        <v>11</v>
      </c>
      <c r="Q11" s="16" t="s">
        <v>12</v>
      </c>
      <c r="R11" s="2"/>
    </row>
    <row r="12" spans="1:18" x14ac:dyDescent="0.2">
      <c r="A12" s="3" t="s">
        <v>13</v>
      </c>
      <c r="B12" s="13">
        <f>104/B22</f>
        <v>3310.4150751209577</v>
      </c>
      <c r="C12" s="12">
        <f>217/B23</f>
        <v>2302.4361259655379</v>
      </c>
      <c r="D12" s="11">
        <f>109/B22</f>
        <v>3469.5696460402341</v>
      </c>
      <c r="E12" s="12">
        <f>165/B23</f>
        <v>1750.7002801120448</v>
      </c>
      <c r="F12" s="2"/>
      <c r="G12" s="3" t="s">
        <v>13</v>
      </c>
      <c r="H12" s="13">
        <f>56/B22</f>
        <v>1782.5311942959001</v>
      </c>
      <c r="I12" s="12">
        <f>79/B23</f>
        <v>838.21407350819118</v>
      </c>
      <c r="J12" s="11">
        <f>68/B22</f>
        <v>2164.5021645021648</v>
      </c>
      <c r="K12" s="12">
        <f>138/B23</f>
        <v>1464.2220524573465</v>
      </c>
      <c r="L12" s="2"/>
      <c r="M12" s="3" t="s">
        <v>13</v>
      </c>
      <c r="N12" s="13">
        <f>46/B22</f>
        <v>1464.2220524573465</v>
      </c>
      <c r="O12" s="12">
        <f>87/B23</f>
        <v>923.09651133180546</v>
      </c>
      <c r="P12" s="11">
        <f>42/B22</f>
        <v>1336.8983957219252</v>
      </c>
      <c r="Q12" s="12">
        <f>114/B23</f>
        <v>1209.5747389865037</v>
      </c>
      <c r="R12" s="2"/>
    </row>
    <row r="13" spans="1:18" x14ac:dyDescent="0.2">
      <c r="A13" s="6" t="s">
        <v>14</v>
      </c>
      <c r="B13" s="14">
        <f>19/B22</f>
        <v>604.78736949325184</v>
      </c>
      <c r="C13" s="7">
        <f>66/B23</f>
        <v>700.28011204481788</v>
      </c>
      <c r="D13" s="2">
        <f>24/B22</f>
        <v>763.94194041252865</v>
      </c>
      <c r="E13" s="7">
        <f>70/B23</f>
        <v>742.72133095662514</v>
      </c>
      <c r="F13" s="2"/>
      <c r="G13" s="6" t="s">
        <v>14</v>
      </c>
      <c r="H13" s="14">
        <f>74/B22</f>
        <v>2355.4876496052966</v>
      </c>
      <c r="I13" s="7">
        <f>71/B23</f>
        <v>753.3316356845769</v>
      </c>
      <c r="J13" s="2">
        <f>29/B22</f>
        <v>923.09651133180546</v>
      </c>
      <c r="K13" s="7">
        <f>85/B23</f>
        <v>901.87590187590195</v>
      </c>
      <c r="L13" s="2"/>
      <c r="M13" s="6" t="s">
        <v>14</v>
      </c>
      <c r="N13" s="14">
        <f>28/B22</f>
        <v>891.26559714795007</v>
      </c>
      <c r="O13" s="7">
        <f>92/B23</f>
        <v>976.14803497156436</v>
      </c>
      <c r="P13" s="2">
        <f>102/B22</f>
        <v>3246.7532467532469</v>
      </c>
      <c r="Q13" s="7">
        <f>104/B23</f>
        <v>1103.4716917069859</v>
      </c>
      <c r="R13" s="2"/>
    </row>
    <row r="14" spans="1:18" x14ac:dyDescent="0.2">
      <c r="A14" s="6" t="s">
        <v>15</v>
      </c>
      <c r="B14" s="14">
        <f>43/B22</f>
        <v>1368.7293099057806</v>
      </c>
      <c r="C14" s="7">
        <f>81/B23</f>
        <v>859.43468296409469</v>
      </c>
      <c r="D14" s="2">
        <f>20/B22</f>
        <v>636.61828367710723</v>
      </c>
      <c r="E14" s="7">
        <f>60/B23</f>
        <v>636.61828367710723</v>
      </c>
      <c r="F14" s="2"/>
      <c r="G14" s="6" t="s">
        <v>15</v>
      </c>
      <c r="H14" s="14">
        <f>64/B22</f>
        <v>2037.178507766743</v>
      </c>
      <c r="I14" s="7">
        <f>95/B23</f>
        <v>1007.9789491554197</v>
      </c>
      <c r="J14" s="2">
        <f>90/B22</f>
        <v>2864.7822765469823</v>
      </c>
      <c r="K14" s="7">
        <f>97/B23</f>
        <v>1029.1995586113233</v>
      </c>
      <c r="L14" s="2"/>
      <c r="M14" s="6" t="s">
        <v>15</v>
      </c>
      <c r="N14" s="17">
        <f>140/B22</f>
        <v>4456.3279857397501</v>
      </c>
      <c r="O14" s="18">
        <f>225/B23</f>
        <v>2387.318563789152</v>
      </c>
      <c r="P14" s="2">
        <f>96/B22</f>
        <v>3055.7677616501146</v>
      </c>
      <c r="Q14" s="7">
        <f>170/B23</f>
        <v>1803.7518037518039</v>
      </c>
      <c r="R14" s="2"/>
    </row>
    <row r="15" spans="1:18" x14ac:dyDescent="0.2">
      <c r="A15" s="6" t="s">
        <v>16</v>
      </c>
      <c r="B15" s="14">
        <f>15/B22</f>
        <v>477.46371275783042</v>
      </c>
      <c r="C15" s="7">
        <f>51/B23</f>
        <v>541.12554112554119</v>
      </c>
      <c r="D15" s="2">
        <f>45/B22</f>
        <v>1432.3911382734912</v>
      </c>
      <c r="E15" s="7">
        <f>51/B23</f>
        <v>541.12554112554119</v>
      </c>
      <c r="F15" s="2"/>
      <c r="G15" s="6" t="s">
        <v>16</v>
      </c>
      <c r="H15" s="14">
        <f>16/B22</f>
        <v>509.29462694168575</v>
      </c>
      <c r="I15" s="7">
        <f>37/B23</f>
        <v>392.58127493421614</v>
      </c>
      <c r="J15" s="2">
        <f>158/B22</f>
        <v>5029.2844410491471</v>
      </c>
      <c r="K15" s="7">
        <f>143/B23</f>
        <v>1517.2735760971054</v>
      </c>
      <c r="L15" s="2"/>
      <c r="M15" s="6" t="s">
        <v>16</v>
      </c>
      <c r="N15" s="14">
        <f>57/B22</f>
        <v>1814.3621084797555</v>
      </c>
      <c r="O15" s="7">
        <f>91/B23</f>
        <v>965.5377302436126</v>
      </c>
      <c r="P15" s="2">
        <f>55/B22</f>
        <v>1750.7002801120448</v>
      </c>
      <c r="Q15" s="7">
        <f>67/B23</f>
        <v>710.89041677276975</v>
      </c>
      <c r="R15" s="2"/>
    </row>
    <row r="16" spans="1:18" x14ac:dyDescent="0.2">
      <c r="A16" s="6" t="s">
        <v>17</v>
      </c>
      <c r="B16" s="14">
        <f>85/B22</f>
        <v>2705.6277056277058</v>
      </c>
      <c r="C16" s="7">
        <f>22/B23</f>
        <v>233.4267040149393</v>
      </c>
      <c r="D16" s="2">
        <f>20/B22</f>
        <v>636.61828367710723</v>
      </c>
      <c r="E16" s="7">
        <f>34/B23</f>
        <v>360.75036075036076</v>
      </c>
      <c r="F16" s="2"/>
      <c r="G16" s="6" t="s">
        <v>17</v>
      </c>
      <c r="H16" s="14">
        <f>70/B22</f>
        <v>2228.1639928698751</v>
      </c>
      <c r="I16" s="7">
        <f>78/B23</f>
        <v>827.60376878023942</v>
      </c>
      <c r="J16" s="2">
        <f>84/B22</f>
        <v>2673.7967914438505</v>
      </c>
      <c r="K16" s="7">
        <f>74/B23</f>
        <v>785.16254986843228</v>
      </c>
      <c r="L16" s="2"/>
      <c r="M16" s="6" t="s">
        <v>17</v>
      </c>
      <c r="N16" s="14">
        <f>87/B22</f>
        <v>2769.2895339954166</v>
      </c>
      <c r="O16" s="7">
        <f>93/B23</f>
        <v>986.75833969951623</v>
      </c>
      <c r="P16" s="2">
        <f>15/B22</f>
        <v>477.46371275783042</v>
      </c>
      <c r="Q16" s="7">
        <f>43/B23</f>
        <v>456.24310330192685</v>
      </c>
      <c r="R16" s="2"/>
    </row>
    <row r="17" spans="1:19" x14ac:dyDescent="0.2">
      <c r="A17" s="6" t="s">
        <v>18</v>
      </c>
      <c r="B17" s="14">
        <f>106/B22</f>
        <v>3374.0769034886684</v>
      </c>
      <c r="C17" s="7">
        <f>157/B23</f>
        <v>1665.8178422884305</v>
      </c>
      <c r="D17" s="2">
        <f>30/B22</f>
        <v>954.92742551566084</v>
      </c>
      <c r="E17" s="7">
        <f>50/B23</f>
        <v>530.51523639758932</v>
      </c>
      <c r="F17" s="2"/>
      <c r="G17" s="6" t="s">
        <v>18</v>
      </c>
      <c r="H17" s="14">
        <f>25/B22</f>
        <v>795.77285459638404</v>
      </c>
      <c r="I17" s="7">
        <f>39/B23</f>
        <v>413.80188439011971</v>
      </c>
      <c r="J17" s="34" t="s">
        <v>24</v>
      </c>
      <c r="K17" s="35" t="s">
        <v>24</v>
      </c>
      <c r="L17" s="2"/>
      <c r="M17" s="6" t="s">
        <v>18</v>
      </c>
      <c r="N17" s="14">
        <f>50/B22</f>
        <v>1591.5457091927681</v>
      </c>
      <c r="O17" s="7">
        <f>74/B23</f>
        <v>785.16254986843228</v>
      </c>
      <c r="P17" s="2">
        <f>62/B22</f>
        <v>1973.5166793990325</v>
      </c>
      <c r="Q17" s="7">
        <f>59/B23</f>
        <v>626.00797894915547</v>
      </c>
      <c r="R17" s="2"/>
    </row>
    <row r="18" spans="1:19" x14ac:dyDescent="0.2">
      <c r="A18" s="6" t="s">
        <v>19</v>
      </c>
      <c r="B18" s="14">
        <f>76/B22</f>
        <v>2419.1494779730074</v>
      </c>
      <c r="C18" s="7">
        <f>98/B23</f>
        <v>1039.8098633392751</v>
      </c>
      <c r="D18" s="2">
        <f>96/B22</f>
        <v>3055.7677616501146</v>
      </c>
      <c r="E18" s="7">
        <f>139/B23</f>
        <v>1474.8323571852984</v>
      </c>
      <c r="F18" s="2"/>
      <c r="G18" s="6" t="s">
        <v>19</v>
      </c>
      <c r="H18" s="14">
        <f>144/B22</f>
        <v>4583.6516424751717</v>
      </c>
      <c r="I18" s="7">
        <f>136/B23</f>
        <v>1443.001443001443</v>
      </c>
      <c r="J18" s="2">
        <f>72/B22</f>
        <v>2291.8258212375858</v>
      </c>
      <c r="K18" s="7">
        <f>86/B23</f>
        <v>912.4862066038537</v>
      </c>
      <c r="L18" s="2"/>
      <c r="M18" s="6" t="s">
        <v>19</v>
      </c>
      <c r="N18" s="14">
        <f>111/B22</f>
        <v>3533.2314744079449</v>
      </c>
      <c r="O18" s="7">
        <f>166/B23</f>
        <v>1761.3105848399966</v>
      </c>
      <c r="P18" s="2">
        <f>60/B22</f>
        <v>1909.8548510313217</v>
      </c>
      <c r="Q18" s="7">
        <f>102/B23</f>
        <v>1082.2510822510824</v>
      </c>
      <c r="R18" s="2"/>
    </row>
    <row r="19" spans="1:19" x14ac:dyDescent="0.2">
      <c r="A19" s="8" t="s">
        <v>20</v>
      </c>
      <c r="B19" s="15">
        <f>29/B22</f>
        <v>923.09651133180546</v>
      </c>
      <c r="C19" s="10">
        <f>61/B23</f>
        <v>647.22858840505899</v>
      </c>
      <c r="D19" s="9">
        <f>16/B22</f>
        <v>509.29462694168575</v>
      </c>
      <c r="E19" s="10">
        <f>35/B23</f>
        <v>371.36066547831257</v>
      </c>
      <c r="F19" s="2"/>
      <c r="G19" s="8" t="s">
        <v>20</v>
      </c>
      <c r="H19" s="15">
        <f>14/B22</f>
        <v>445.63279857397504</v>
      </c>
      <c r="I19" s="10">
        <f>43/B23</f>
        <v>456.24310330192685</v>
      </c>
      <c r="J19" s="9">
        <f>12/B22</f>
        <v>381.97097020626433</v>
      </c>
      <c r="K19" s="10">
        <f>58/B23</f>
        <v>615.3976742212036</v>
      </c>
      <c r="L19" s="2"/>
      <c r="M19" s="8" t="s">
        <v>20</v>
      </c>
      <c r="N19" s="15">
        <f>31/B22</f>
        <v>986.75833969951623</v>
      </c>
      <c r="O19" s="10">
        <f>71/B23</f>
        <v>753.3316356845769</v>
      </c>
      <c r="P19" s="9">
        <f>47/B22</f>
        <v>1496.0529666412019</v>
      </c>
      <c r="Q19" s="10">
        <f>121/B23</f>
        <v>1283.8468720821663</v>
      </c>
      <c r="R19" s="2"/>
    </row>
    <row r="20" spans="1:19" x14ac:dyDescent="0.2">
      <c r="A20" s="1"/>
      <c r="B20" s="2"/>
      <c r="C20" s="2"/>
      <c r="D20" s="2"/>
      <c r="E20" s="2"/>
      <c r="F20" s="2"/>
      <c r="G20" s="2"/>
      <c r="L20" s="2"/>
    </row>
    <row r="21" spans="1:19" x14ac:dyDescent="0.2">
      <c r="A21" s="1" t="s">
        <v>28</v>
      </c>
      <c r="B21" s="2"/>
      <c r="C21" s="2"/>
      <c r="D21" s="2"/>
      <c r="F21" s="2"/>
      <c r="G21" s="2"/>
    </row>
    <row r="22" spans="1:19" x14ac:dyDescent="0.2">
      <c r="A22" s="1" t="s">
        <v>29</v>
      </c>
      <c r="B22" s="1">
        <v>3.1415999999999999E-2</v>
      </c>
      <c r="C22" s="1" t="s">
        <v>30</v>
      </c>
      <c r="G22" s="29" t="s">
        <v>0</v>
      </c>
      <c r="H22" s="27" t="s">
        <v>1</v>
      </c>
      <c r="I22" s="16" t="s">
        <v>2</v>
      </c>
      <c r="J22" s="27" t="s">
        <v>5</v>
      </c>
      <c r="K22" s="16" t="s">
        <v>6</v>
      </c>
      <c r="L22" s="28" t="s">
        <v>9</v>
      </c>
      <c r="M22" s="16" t="s">
        <v>10</v>
      </c>
    </row>
    <row r="23" spans="1:19" x14ac:dyDescent="0.2">
      <c r="A23" s="1" t="s">
        <v>31</v>
      </c>
      <c r="B23" s="1">
        <v>9.4247999999999998E-2</v>
      </c>
      <c r="C23" s="1" t="s">
        <v>30</v>
      </c>
      <c r="G23" s="30" t="s">
        <v>18</v>
      </c>
      <c r="H23" s="2">
        <f>25/B22</f>
        <v>795.77285459638404</v>
      </c>
      <c r="I23" s="7">
        <f>57/B23</f>
        <v>604.78736949325184</v>
      </c>
      <c r="J23" s="2">
        <f>17/B22</f>
        <v>541.12554112554119</v>
      </c>
      <c r="K23" s="7">
        <f>45/B23</f>
        <v>477.46371275783042</v>
      </c>
      <c r="L23" s="2">
        <f>32/B22</f>
        <v>1018.5892538833715</v>
      </c>
      <c r="M23" s="7">
        <f>96/B23</f>
        <v>1018.5892538833715</v>
      </c>
    </row>
    <row r="24" spans="1:19" x14ac:dyDescent="0.2">
      <c r="G24" s="30" t="s">
        <v>19</v>
      </c>
      <c r="H24" s="2">
        <f>145/B22</f>
        <v>4615.4825566590271</v>
      </c>
      <c r="I24" s="7">
        <f>181/B23</f>
        <v>1920.4651557592733</v>
      </c>
      <c r="J24" s="2">
        <f>90/B22</f>
        <v>2864.7822765469823</v>
      </c>
      <c r="K24" s="7">
        <f>77/B23</f>
        <v>816.99346405228755</v>
      </c>
      <c r="L24" s="2">
        <f>56/B22</f>
        <v>1782.5311942959001</v>
      </c>
      <c r="M24" s="7">
        <f>48/B23</f>
        <v>509.29462694168575</v>
      </c>
    </row>
    <row r="25" spans="1:19" x14ac:dyDescent="0.2">
      <c r="A25" s="1" t="s">
        <v>32</v>
      </c>
      <c r="B25" s="1" t="s">
        <v>33</v>
      </c>
      <c r="C25" s="1" t="s">
        <v>34</v>
      </c>
      <c r="D25" s="1"/>
      <c r="G25" s="31" t="s">
        <v>20</v>
      </c>
      <c r="H25" s="9">
        <f>42/B22</f>
        <v>1336.8983957219252</v>
      </c>
      <c r="I25" s="10">
        <f>93/B23</f>
        <v>986.75833969951623</v>
      </c>
      <c r="J25" s="9">
        <f>41/B22</f>
        <v>1305.0674815380698</v>
      </c>
      <c r="K25" s="10">
        <f>73/B23</f>
        <v>774.55224514048041</v>
      </c>
      <c r="L25" s="9">
        <f>196/B22</f>
        <v>6238.8591800356508</v>
      </c>
      <c r="M25" s="10">
        <f>241/B23</f>
        <v>2557.0834394363806</v>
      </c>
    </row>
    <row r="26" spans="1:19" x14ac:dyDescent="0.2">
      <c r="A26" s="1" t="s">
        <v>13</v>
      </c>
      <c r="B26" s="23">
        <v>3.0000000000000001E-3</v>
      </c>
      <c r="C26" s="22">
        <v>0.221</v>
      </c>
      <c r="D26" s="62" t="s">
        <v>35</v>
      </c>
    </row>
    <row r="27" spans="1:19" x14ac:dyDescent="0.2">
      <c r="A27" s="1" t="s">
        <v>14</v>
      </c>
      <c r="B27" s="22">
        <v>0.41404299999999999</v>
      </c>
      <c r="C27" s="22">
        <v>0.71796899999999997</v>
      </c>
      <c r="D27" s="1"/>
      <c r="G27" s="29" t="s">
        <v>22</v>
      </c>
      <c r="H27" s="27" t="s">
        <v>1</v>
      </c>
      <c r="I27" s="16" t="s">
        <v>2</v>
      </c>
      <c r="J27" s="27" t="s">
        <v>5</v>
      </c>
      <c r="K27" s="16" t="s">
        <v>6</v>
      </c>
      <c r="L27" s="28" t="s">
        <v>9</v>
      </c>
      <c r="M27" s="16" t="s">
        <v>10</v>
      </c>
    </row>
    <row r="28" spans="1:19" x14ac:dyDescent="0.2">
      <c r="A28" s="1" t="s">
        <v>15</v>
      </c>
      <c r="B28" s="22">
        <v>0.89566299999999999</v>
      </c>
      <c r="C28" s="22">
        <v>0.64808399999999999</v>
      </c>
      <c r="D28" s="1"/>
      <c r="G28" s="30" t="s">
        <v>18</v>
      </c>
      <c r="H28" s="2">
        <f>46/B22</f>
        <v>1464.2220524573465</v>
      </c>
      <c r="I28" s="7">
        <f>46/B23</f>
        <v>488.07401748578218</v>
      </c>
      <c r="J28" s="37" t="s">
        <v>24</v>
      </c>
      <c r="K28" s="18" t="s">
        <v>24</v>
      </c>
      <c r="L28" s="2">
        <f>20/B22</f>
        <v>636.61828367710723</v>
      </c>
      <c r="M28" s="7">
        <f>49/B23</f>
        <v>519.90493166963756</v>
      </c>
      <c r="Q28" t="s">
        <v>0</v>
      </c>
      <c r="R28" t="s">
        <v>22</v>
      </c>
    </row>
    <row r="29" spans="1:19" x14ac:dyDescent="0.2">
      <c r="A29" s="1" t="s">
        <v>16</v>
      </c>
      <c r="B29" s="60">
        <v>6.8143999999999996E-2</v>
      </c>
      <c r="C29" s="22">
        <v>0.25268600000000002</v>
      </c>
      <c r="D29" s="1"/>
      <c r="G29" s="30" t="s">
        <v>19</v>
      </c>
      <c r="H29" s="2">
        <f>59/B22</f>
        <v>1878.0239368474663</v>
      </c>
      <c r="I29" s="7">
        <f>132/B23</f>
        <v>1400.5602240896358</v>
      </c>
      <c r="J29" s="2">
        <f>74/B22</f>
        <v>2355.4876496052966</v>
      </c>
      <c r="K29" s="7">
        <f>95/B23</f>
        <v>1007.9789491554197</v>
      </c>
      <c r="L29" s="2">
        <f>116/B22</f>
        <v>3692.3860453272218</v>
      </c>
      <c r="M29" s="7">
        <f>163/B23</f>
        <v>1729.4796706561413</v>
      </c>
      <c r="P29" t="s">
        <v>36</v>
      </c>
      <c r="Q29" t="s">
        <v>37</v>
      </c>
      <c r="R29" t="s">
        <v>37</v>
      </c>
      <c r="S29" t="s">
        <v>38</v>
      </c>
    </row>
    <row r="30" spans="1:19" x14ac:dyDescent="0.2">
      <c r="A30" s="1" t="s">
        <v>17</v>
      </c>
      <c r="B30" s="22">
        <v>0.44462800000000002</v>
      </c>
      <c r="C30" s="22">
        <v>0.47690700000000003</v>
      </c>
      <c r="D30" s="1" t="s">
        <v>39</v>
      </c>
      <c r="E30" s="1" t="s">
        <v>39</v>
      </c>
      <c r="G30" s="31" t="s">
        <v>20</v>
      </c>
      <c r="H30" s="9">
        <f>68/B22</f>
        <v>2164.5021645021648</v>
      </c>
      <c r="I30" s="10">
        <f>83/B23</f>
        <v>880.65529241999832</v>
      </c>
      <c r="J30" s="9">
        <f>16/B22</f>
        <v>509.29462694168575</v>
      </c>
      <c r="K30" s="10">
        <f>30/B23</f>
        <v>318.30914183855361</v>
      </c>
      <c r="L30" s="9">
        <f>146/B22</f>
        <v>4647.3134708428825</v>
      </c>
      <c r="M30" s="10">
        <f>244/B23</f>
        <v>2588.9143536202359</v>
      </c>
      <c r="P30" t="s">
        <v>40</v>
      </c>
      <c r="Q30" t="s">
        <v>37</v>
      </c>
      <c r="R30" t="s">
        <v>37</v>
      </c>
      <c r="S30" t="s">
        <v>41</v>
      </c>
    </row>
    <row r="31" spans="1:19" x14ac:dyDescent="0.2">
      <c r="A31" s="1" t="s">
        <v>18</v>
      </c>
      <c r="B31" s="22">
        <v>0.151088</v>
      </c>
      <c r="C31" s="22">
        <v>0.70290600000000003</v>
      </c>
      <c r="D31" s="23">
        <v>4.8506000000000001E-2</v>
      </c>
      <c r="E31" s="22">
        <v>0.83937099999999998</v>
      </c>
      <c r="F31" s="62" t="s">
        <v>42</v>
      </c>
      <c r="P31" t="s">
        <v>43</v>
      </c>
      <c r="Q31" t="s">
        <v>37</v>
      </c>
      <c r="R31" t="s">
        <v>37</v>
      </c>
      <c r="S31" t="s">
        <v>41</v>
      </c>
    </row>
    <row r="32" spans="1:19" x14ac:dyDescent="0.2">
      <c r="A32" s="1" t="s">
        <v>19</v>
      </c>
      <c r="B32" s="64">
        <v>5.3999999999999998E-5</v>
      </c>
      <c r="C32" s="22">
        <v>0.12567500000000001</v>
      </c>
      <c r="D32" s="23">
        <v>1.9370999999999999E-2</v>
      </c>
      <c r="E32" s="22">
        <v>0.26591399999999998</v>
      </c>
      <c r="F32" s="62" t="s">
        <v>42</v>
      </c>
    </row>
    <row r="33" spans="1:16" x14ac:dyDescent="0.2">
      <c r="A33" s="1" t="s">
        <v>20</v>
      </c>
      <c r="B33" s="23">
        <v>2.9619999999999998E-3</v>
      </c>
      <c r="C33" s="22">
        <v>0.15565699999999999</v>
      </c>
      <c r="D33" s="62" t="s">
        <v>35</v>
      </c>
      <c r="E33" s="62"/>
      <c r="F33" s="62"/>
      <c r="P33" t="s">
        <v>44</v>
      </c>
    </row>
    <row r="34" spans="1:16" x14ac:dyDescent="0.2">
      <c r="A34" s="1"/>
      <c r="B34" s="1"/>
      <c r="C34" s="1"/>
      <c r="D34" s="1"/>
      <c r="E34" s="21"/>
    </row>
    <row r="35" spans="1:16" x14ac:dyDescent="0.2">
      <c r="A35" s="24" t="s">
        <v>45</v>
      </c>
      <c r="B35" s="1"/>
      <c r="C35" s="1"/>
      <c r="D35" s="21"/>
    </row>
    <row r="36" spans="1:16" x14ac:dyDescent="0.2">
      <c r="D36" s="21"/>
    </row>
    <row r="37" spans="1:16" x14ac:dyDescent="0.2">
      <c r="A37" s="1"/>
      <c r="D37" s="1"/>
      <c r="E3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Microglia Counts per Radii</vt:lpstr>
      <vt:lpstr>Neut Counts per Radii</vt:lpstr>
      <vt:lpstr>Mono_Neut Counts per Radii</vt:lpstr>
      <vt:lpstr>immune_cell_counts</vt:lpstr>
      <vt:lpstr>Mono_Neut Counts per Density</vt:lpstr>
      <vt:lpstr>Neut Counts per Density</vt:lpstr>
      <vt:lpstr>Microglia Counts per Density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Campos, Sabrina V.</dc:creator>
  <cp:keywords/>
  <dc:description/>
  <cp:lastModifiedBy>Kulhanjian, Cara H.</cp:lastModifiedBy>
  <cp:revision/>
  <dcterms:created xsi:type="dcterms:W3CDTF">2026-01-19T20:03:32Z</dcterms:created>
  <dcterms:modified xsi:type="dcterms:W3CDTF">2026-02-20T20:00:28Z</dcterms:modified>
  <cp:category/>
  <cp:contentStatus/>
</cp:coreProperties>
</file>